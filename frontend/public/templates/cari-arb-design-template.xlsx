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Readiness Dashboard" sheetId="2" state="visible" r:id="rId2"/>
    <sheet xmlns:r="http://schemas.openxmlformats.org/officeDocument/2006/relationships" name="Review Checklist" sheetId="3" state="visible" r:id="rId3"/>
    <sheet xmlns:r="http://schemas.openxmlformats.org/officeDocument/2006/relationships" name="Evidence Matrix" sheetId="4" state="visible" r:id="rId4"/>
    <sheet xmlns:r="http://schemas.openxmlformats.org/officeDocument/2006/relationships" name="Design Outline" sheetId="5" state="visible" r:id="rId5"/>
    <sheet xmlns:r="http://schemas.openxmlformats.org/officeDocument/2006/relationships" name="Project Summary" sheetId="6" state="visible" r:id="rId6"/>
    <sheet xmlns:r="http://schemas.openxmlformats.org/officeDocument/2006/relationships" name="Service Inventory" sheetId="7" state="visible" r:id="rId7"/>
    <sheet xmlns:r="http://schemas.openxmlformats.org/officeDocument/2006/relationships" name="Requirements Traceability" sheetId="8" state="visible" r:id="rId8"/>
    <sheet xmlns:r="http://schemas.openxmlformats.org/officeDocument/2006/relationships" name="Risks &amp; Decisions" sheetId="9" state="visible" r:id="rId9"/>
    <sheet xmlns:r="http://schemas.openxmlformats.org/officeDocument/2006/relationships" name="Evidence Appendix" sheetId="10" state="visible" r:id="rId10"/>
    <sheet xmlns:r="http://schemas.openxmlformats.org/officeDocument/2006/relationships" name="References" sheetId="11" state="visible" r:id="rId11"/>
    <sheet xmlns:r="http://schemas.openxmlformats.org/officeDocument/2006/relationships" name="List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334155"/>
    </font>
    <font>
      <b val="1"/>
      <color rgb="00FFFFFF"/>
      <sz val="14"/>
    </font>
    <font>
      <b val="1"/>
      <color rgb="000F172A"/>
      <sz val="12"/>
    </font>
    <font>
      <color rgb="00334155"/>
    </font>
    <font>
      <b val="1"/>
      <color rgb="000F172A"/>
      <sz val="13"/>
    </font>
    <font>
      <b val="1"/>
    </font>
    <font>
      <b val="1"/>
      <color rgb="00FFFFFF"/>
    </font>
    <font>
      <name val="Calibri"/>
      <family val="2"/>
      <color theme="1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AFC"/>
      </patternFill>
    </fill>
    <fill>
      <patternFill patternType="solid">
        <fgColor rgb="00C41230"/>
      </patternFill>
    </fill>
    <fill>
      <patternFill patternType="solid">
        <fgColor rgb="00FFFDF7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2">
    <xf numFmtId="0" fontId="0" fillId="0" borderId="0"/>
    <xf numFmtId="0" fontId="9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9" fillId="5" borderId="0" pivotButton="0" quotePrefix="0" xfId="1"/>
    <xf numFmtId="0" fontId="9" fillId="0" borderId="0" pivotButton="0" quotePrefix="0" xfId="1"/>
    <xf numFmtId="0" fontId="0" fillId="0" borderId="4" pivotButton="0" quotePrefix="0" xfId="0"/>
    <xf numFmtId="0" fontId="0" fillId="0" borderId="5" pivotButton="0" quotePrefix="0" xfId="0"/>
  </cellXfs>
  <cellStyles count="2">
    <cellStyle name="Normal" xfId="0" builtinId="0" hidden="0"/>
    <cellStyle name="Hyperlink" xfId="1" builtinId="8" hidden="0"/>
  </cellStyles>
  <dxfs count="3">
    <dxf>
      <fill>
        <patternFill patternType="solid">
          <fgColor rgb="00FEE2E2"/>
        </patternFill>
      </fill>
    </dxf>
    <dxf>
      <fill>
        <patternFill patternType="solid">
          <fgColor rgb="00E6F4EA"/>
        </patternFill>
      </fill>
    </dxf>
    <dxf>
      <fill>
        <patternFill patternType="solid">
          <fgColor rgb="00FFF7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ables/table1.xml><?xml version="1.0" encoding="utf-8"?>
<table xmlns="http://schemas.openxmlformats.org/spreadsheetml/2006/main" id="1" name="ReviewChecklistTable" displayName="ReviewChecklistTable" ref="A4:M32" headerRowCount="1">
  <autoFilter ref="A4:M32"/>
  <tableColumns count="13">
    <tableColumn id="1" name="Check ID"/>
    <tableColumn id="2" name="Main Area"/>
    <tableColumn id="3" name="Sub Area"/>
    <tableColumn id="4" name="Checklist item"/>
    <tableColumn id="5" name="Description"/>
    <tableColumn id="6" name="Severity"/>
    <tableColumn id="7" name="Status"/>
    <tableColumn id="8" name="Evidence / comment"/>
    <tableColumn id="9" name="More info"/>
    <tableColumn id="10" name="Training"/>
    <tableColumn id="11" name="WAF pillar"/>
    <tableColumn id="12" name="Evidence required"/>
    <tableColumn id="13" name="Source checklist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EvidenceMatrixTable" displayName="EvidenceMatrixTable" ref="A1:H9" headerRowCount="1">
  <autoFilter ref="A1:H9"/>
  <tableColumns count="8">
    <tableColumn id="1" name="Review area"/>
    <tableColumn id="2" name="What CARI tests"/>
    <tableColumn id="3" name="Required evidence"/>
    <tableColumn id="4" name="Status"/>
    <tableColumn id="5" name="Evidence location"/>
    <tableColumn id="6" name="Owner"/>
    <tableColumn id="7" name="Reference"/>
    <tableColumn id="8" name="Scoring note"/>
  </tableColumns>
  <tableStyleInfo name="TableStyleMedium2" showRowStripes="1" showColumnStripes="0"/>
</table>
</file>

<file path=xl/tables/table3.xml><?xml version="1.0" encoding="utf-8"?>
<table xmlns="http://schemas.openxmlformats.org/spreadsheetml/2006/main" id="3" name="DesignOutlineTable" displayName="DesignOutlineTable" ref="A1:D12" headerRowCount="1">
  <autoFilter ref="A1:D12"/>
  <tableColumns count="4">
    <tableColumn id="1" name="Design document section"/>
    <tableColumn id="2" name="What to include"/>
    <tableColumn id="3" name="Evidence to attach"/>
    <tableColumn id="4" name="Applicability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ProjectSummaryTable" displayName="ProjectSummaryTable" ref="A1:D10" headerRowCount="1">
  <autoFilter ref="A1:D10"/>
  <tableColumns count="4">
    <tableColumn id="1" name="Field"/>
    <tableColumn id="2" name="Response"/>
    <tableColumn id="3" name="Evidence / attachment"/>
    <tableColumn id="4" name="Owner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ServiceInventoryTable" displayName="ServiceInventoryTable" ref="A1:H15" headerRowCount="1">
  <autoFilter ref="A1:H15"/>
  <tableColumns count="8">
    <tableColumn id="1" name="Service"/>
    <tableColumn id="2" name="Purpose"/>
    <tableColumn id="3" name="Region"/>
    <tableColumn id="4" name="SKU / tier"/>
    <tableColumn id="5" name="HA setting"/>
    <tableColumn id="6" name="Data classification"/>
    <tableColumn id="7" name="Owner"/>
    <tableColumn id="8" name="Microsoft Learn reference"/>
  </tableColumns>
  <tableStyleInfo name="TableStyleMedium2" showRowStripes="1" showColumnStripes="0"/>
</table>
</file>

<file path=xl/tables/table6.xml><?xml version="1.0" encoding="utf-8"?>
<table xmlns="http://schemas.openxmlformats.org/spreadsheetml/2006/main" id="6" name="RequirementsTraceabilityTable" displayName="RequirementsTraceabilityTable" ref="A1:F19" headerRowCount="1">
  <autoFilter ref="A1:F19"/>
  <tableColumns count="6">
    <tableColumn id="1" name="Requirement"/>
    <tableColumn id="2" name="Evidence location"/>
    <tableColumn id="3" name="Framework"/>
    <tableColumn id="4" name="Owner"/>
    <tableColumn id="5" name="Status"/>
    <tableColumn id="6" name="Notes"/>
  </tableColumns>
  <tableStyleInfo name="TableStyleMedium2" showRowStripes="1" showColumnStripes="0"/>
</table>
</file>

<file path=xl/tables/table7.xml><?xml version="1.0" encoding="utf-8"?>
<table xmlns="http://schemas.openxmlformats.org/spreadsheetml/2006/main" id="7" name="RisksDecisionsTable" displayName="RisksDecisionsTable" ref="A1:G15" headerRowCount="1">
  <autoFilter ref="A1:G15"/>
  <tableColumns count="7">
    <tableColumn id="1" name="Item"/>
    <tableColumn id="2" name="Type"/>
    <tableColumn id="3" name="Impact"/>
    <tableColumn id="4" name="Owner"/>
    <tableColumn id="5" name="Decision needed"/>
    <tableColumn id="6" name="Due date"/>
    <tableColumn id="7" name="Status"/>
  </tableColumns>
  <tableStyleInfo name="TableStyleMedium2" showRowStripes="1" showColumnStripes="0"/>
</table>
</file>

<file path=xl/tables/table8.xml><?xml version="1.0" encoding="utf-8"?>
<table xmlns="http://schemas.openxmlformats.org/spreadsheetml/2006/main" id="8" name="EvidenceAppendixTable" displayName="EvidenceAppendixTable" ref="A1:F19" headerRowCount="1">
  <autoFilter ref="A1:F19"/>
  <tableColumns count="6">
    <tableColumn id="1" name="Artifact"/>
    <tableColumn id="2" name="Type"/>
    <tableColumn id="3" name="What it proves"/>
    <tableColumn id="4" name="Related review area"/>
    <tableColumn id="5" name="Microsoft Learn reference"/>
    <tableColumn id="6" name="Owner"/>
  </tableColumns>
  <tableStyleInfo name="TableStyleMedium2" showRowStripes="1" showColumnStripes="0"/>
</table>
</file>

<file path=xl/tables/table9.xml><?xml version="1.0" encoding="utf-8"?>
<table xmlns="http://schemas.openxmlformats.org/spreadsheetml/2006/main" id="9" name="ReferencesTable" displayName="ReferencesTable" ref="A1:C24" headerRowCount="1">
  <autoFilter ref="A1:C24"/>
  <tableColumns count="3">
    <tableColumn id="1" name="Category"/>
    <tableColumn id="2" name="Topic"/>
    <tableColumn id="3" name="Microsoft Learn URL"/>
  </tableColumns>
  <tableStyleInfo name="TableStyleMedium2" showRowStripes="1" showColumnStripes="0"/>
</table>
</file>

<file path=xl/tables/table10.xml><?xml version="1.0" encoding="utf-8"?>
<table xmlns="http://schemas.openxmlformats.org/spreadsheetml/2006/main" id="10" name="ListsTable" displayName="ListsTable" ref="A1:C6" headerRowCount="1">
  <autoFilter ref="A1:C6"/>
  <tableColumns count="3">
    <tableColumn id="1" name="Severity"/>
    <tableColumn id="2" name="Status"/>
    <tableColumn id="3" name="Status description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learn.microsoft.com/en-us/azure/well-architected/security/" TargetMode="External" Id="rId1"/><Relationship Type="http://schemas.openxmlformats.org/officeDocument/2006/relationships/hyperlink" Target="https://learn.microsoft.com/en-us/azure/cloud-adoption-framework/secure/" TargetMode="External" Id="rId2"/><Relationship Type="http://schemas.openxmlformats.org/officeDocument/2006/relationships/hyperlink" Target="https://learn.microsoft.com/en-us/azure/well-architected/security/" TargetMode="External" Id="rId3"/><Relationship Type="http://schemas.openxmlformats.org/officeDocument/2006/relationships/hyperlink" Target="https://learn.microsoft.com/en-us/azure/cloud-adoption-framework/secure/" TargetMode="External" Id="rId4"/><Relationship Type="http://schemas.openxmlformats.org/officeDocument/2006/relationships/hyperlink" Target="https://learn.microsoft.com/en-us/azure/cloud-adoption-framework/ready/landing-zone/design-areas" TargetMode="External" Id="rId5"/><Relationship Type="http://schemas.openxmlformats.org/officeDocument/2006/relationships/hyperlink" Target="https://learn.microsoft.com/en-us/azure/cloud-adoption-framework/ready/landing-zone/design-principles" TargetMode="External" Id="rId6"/><Relationship Type="http://schemas.openxmlformats.org/officeDocument/2006/relationships/hyperlink" Target="https://learn.microsoft.com/en-us/azure/well-architected/reliability/" TargetMode="External" Id="rId7"/><Relationship Type="http://schemas.openxmlformats.org/officeDocument/2006/relationships/hyperlink" Target="https://learn.microsoft.com/en-us/azure/well-architected/reliability/" TargetMode="External" Id="rId8"/><Relationship Type="http://schemas.openxmlformats.org/officeDocument/2006/relationships/hyperlink" Target="https://learn.microsoft.com/en-us/azure/well-architected/reliability/" TargetMode="External" Id="rId9"/><Relationship Type="http://schemas.openxmlformats.org/officeDocument/2006/relationships/hyperlink" Target="https://learn.microsoft.com/en-us/azure/cloud-adoption-framework/migrate/release/complete-migration" TargetMode="External" Id="rId10"/><Relationship Type="http://schemas.openxmlformats.org/officeDocument/2006/relationships/hyperlink" Target="https://learn.microsoft.com/en-us/azure/well-architected/operational-excellence/" TargetMode="External" Id="rId11"/><Relationship Type="http://schemas.openxmlformats.org/officeDocument/2006/relationships/hyperlink" Target="https://learn.microsoft.com/en-us/azure/cloud-adoption-framework/manage/" TargetMode="External" Id="rId12"/><Relationship Type="http://schemas.openxmlformats.org/officeDocument/2006/relationships/hyperlink" Target="https://learn.microsoft.com/en-us/azure/well-architected/operational-excellence/" TargetMode="External" Id="rId13"/><Relationship Type="http://schemas.openxmlformats.org/officeDocument/2006/relationships/hyperlink" Target="https://learn.microsoft.com/en-us/azure/cloud-adoption-framework/manage/" TargetMode="External" Id="rId14"/><Relationship Type="http://schemas.openxmlformats.org/officeDocument/2006/relationships/hyperlink" Target="https://learn.microsoft.com/en-us/azure/well-architected/cost-optimization/" TargetMode="External" Id="rId15"/><Relationship Type="http://schemas.openxmlformats.org/officeDocument/2006/relationships/hyperlink" Target="https://learn.microsoft.com/en-us/azure/well-architected/cost-optimization/" TargetMode="External" Id="rId16"/><Relationship Type="http://schemas.openxmlformats.org/officeDocument/2006/relationships/hyperlink" Target="https://learn.microsoft.com/en-us/azure/well-architected/performance-efficiency/" TargetMode="External" Id="rId17"/><Relationship Type="http://schemas.openxmlformats.org/officeDocument/2006/relationships/hyperlink" Target="https://learn.microsoft.com/en-us/azure/well-architected/performance-efficiency/" TargetMode="External" Id="rId18"/><Relationship Type="http://schemas.openxmlformats.org/officeDocument/2006/relationships/hyperlink" Target="https://learn.microsoft.com/en-us/azure/cloud-adoption-framework/ready/landing-zone/" TargetMode="External" Id="rId19"/><Relationship Type="http://schemas.openxmlformats.org/officeDocument/2006/relationships/hyperlink" Target="https://learn.microsoft.com/en-us/azure/cloud-adoption-framework/ready/landing-zone/design-areas" TargetMode="External" Id="rId20"/><Relationship Type="http://schemas.openxmlformats.org/officeDocument/2006/relationships/hyperlink" Target="https://learn.microsoft.com/en-us/azure/cloud-adoption-framework/plan/" TargetMode="External" Id="rId21"/><Relationship Type="http://schemas.openxmlformats.org/officeDocument/2006/relationships/hyperlink" Target="https://learn.microsoft.com/en-us/azure/cloud-adoption-framework/strategy/" TargetMode="External" Id="rId22"/><Relationship Type="http://schemas.openxmlformats.org/officeDocument/2006/relationships/hyperlink" Target="https://learn.microsoft.com/en-us/azure/well-architected/ai/" TargetMode="External" Id="rId23"/><Relationship Type="http://schemas.openxmlformats.org/officeDocument/2006/relationships/hyperlink" Target="https://learn.microsoft.com/en-us/azure/architecture/ai-ml/architecture/baseline-microsoft-foundry-landing-zone" TargetMode="External" Id="rId24"/><Relationship Type="http://schemas.openxmlformats.org/officeDocument/2006/relationships/hyperlink" Target="https://learn.microsoft.com/en-us/azure/migration/migrate-to-azure" TargetMode="External" Id="rId25"/><Relationship Type="http://schemas.openxmlformats.org/officeDocument/2006/relationships/hyperlink" Target="https://learn.microsoft.com/en-us/azure/cloud-adoption-framework/migrate/plan-migration" TargetMode="External" Id="rId26"/><Relationship Type="http://schemas.openxmlformats.org/officeDocument/2006/relationships/table" Target="/xl/tables/table1.xml" Id="rId27"/></Relationships>
</file>

<file path=xl/worksheets/_rels/sheet4.xml.rels><Relationships xmlns="http://schemas.openxmlformats.org/package/2006/relationships"><Relationship Type="http://schemas.openxmlformats.org/officeDocument/2006/relationships/hyperlink" Target="https://learn.microsoft.com/en-us/azure/well-architected/security/" TargetMode="External" Id="rId1"/><Relationship Type="http://schemas.openxmlformats.org/officeDocument/2006/relationships/hyperlink" Target="https://learn.microsoft.com/en-us/azure/well-architected/operational-excellence/" TargetMode="External" Id="rId2"/><Relationship Type="http://schemas.openxmlformats.org/officeDocument/2006/relationships/hyperlink" Target="https://learn.microsoft.com/en-us/azure/cloud-adoption-framework/ready/" TargetMode="External" Id="rId3"/><Relationship Type="http://schemas.openxmlformats.org/officeDocument/2006/relationships/table" Target="/xl/tables/table2.xml" Id="rId4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1.xml.rels><Relationships xmlns="http://schemas.openxmlformats.org/package/2006/relationships"><Relationship Type="http://schemas.openxmlformats.org/officeDocument/2006/relationships/hyperlink" Target="https://learn.microsoft.com/en-us/azure/well-architected/" TargetMode="External" Id="rId1"/><Relationship Type="http://schemas.openxmlformats.org/officeDocument/2006/relationships/hyperlink" Target="https://learn.microsoft.com/en-us/azure/well-architected/security/" TargetMode="External" Id="rId2"/><Relationship Type="http://schemas.openxmlformats.org/officeDocument/2006/relationships/hyperlink" Target="https://learn.microsoft.com/en-us/azure/well-architected/reliability/" TargetMode="External" Id="rId3"/><Relationship Type="http://schemas.openxmlformats.org/officeDocument/2006/relationships/hyperlink" Target="https://learn.microsoft.com/en-us/azure/well-architected/operational-excellence/" TargetMode="External" Id="rId4"/><Relationship Type="http://schemas.openxmlformats.org/officeDocument/2006/relationships/hyperlink" Target="https://learn.microsoft.com/en-us/azure/well-architected/cost-optimization/" TargetMode="External" Id="rId5"/><Relationship Type="http://schemas.openxmlformats.org/officeDocument/2006/relationships/hyperlink" Target="https://learn.microsoft.com/en-us/azure/well-architected/performance-efficiency/" TargetMode="External" Id="rId6"/><Relationship Type="http://schemas.openxmlformats.org/officeDocument/2006/relationships/hyperlink" Target="https://learn.microsoft.com/en-us/azure/cloud-adoption-framework/" TargetMode="External" Id="rId7"/><Relationship Type="http://schemas.openxmlformats.org/officeDocument/2006/relationships/hyperlink" Target="https://learn.microsoft.com/en-us/azure/cloud-adoption-framework/strategy/" TargetMode="External" Id="rId8"/><Relationship Type="http://schemas.openxmlformats.org/officeDocument/2006/relationships/hyperlink" Target="https://learn.microsoft.com/en-us/azure/cloud-adoption-framework/plan/" TargetMode="External" Id="rId9"/><Relationship Type="http://schemas.openxmlformats.org/officeDocument/2006/relationships/hyperlink" Target="https://learn.microsoft.com/en-us/azure/cloud-adoption-framework/ready/" TargetMode="External" Id="rId10"/><Relationship Type="http://schemas.openxmlformats.org/officeDocument/2006/relationships/hyperlink" Target="https://learn.microsoft.com/en-us/azure/cloud-adoption-framework/secure/" TargetMode="External" Id="rId11"/><Relationship Type="http://schemas.openxmlformats.org/officeDocument/2006/relationships/hyperlink" Target="https://learn.microsoft.com/en-us/azure/cloud-adoption-framework/manage/" TargetMode="External" Id="rId12"/><Relationship Type="http://schemas.openxmlformats.org/officeDocument/2006/relationships/hyperlink" Target="https://learn.microsoft.com/en-us/azure/cloud-adoption-framework/ready/landing-zone/" TargetMode="External" Id="rId13"/><Relationship Type="http://schemas.openxmlformats.org/officeDocument/2006/relationships/hyperlink" Target="https://learn.microsoft.com/en-us/azure/cloud-adoption-framework/ready/landing-zone/design-principles" TargetMode="External" Id="rId14"/><Relationship Type="http://schemas.openxmlformats.org/officeDocument/2006/relationships/hyperlink" Target="https://learn.microsoft.com/en-us/azure/cloud-adoption-framework/ready/landing-zone/design-areas" TargetMode="External" Id="rId15"/><Relationship Type="http://schemas.openxmlformats.org/officeDocument/2006/relationships/hyperlink" Target="https://learn.microsoft.com/en-us/azure/cloud-adoption-framework/ai/" TargetMode="External" Id="rId16"/><Relationship Type="http://schemas.openxmlformats.org/officeDocument/2006/relationships/hyperlink" Target="https://learn.microsoft.com/en-us/azure/well-architected/ai/" TargetMode="External" Id="rId17"/><Relationship Type="http://schemas.openxmlformats.org/officeDocument/2006/relationships/hyperlink" Target="https://learn.microsoft.com/en-us/azure/architecture/ai-ml/architecture/baseline-microsoft-foundry-landing-zone" TargetMode="External" Id="rId18"/><Relationship Type="http://schemas.openxmlformats.org/officeDocument/2006/relationships/hyperlink" Target="https://learn.microsoft.com/en-us/azure/migration/migrate-to-azure" TargetMode="External" Id="rId19"/><Relationship Type="http://schemas.openxmlformats.org/officeDocument/2006/relationships/hyperlink" Target="https://learn.microsoft.com/en-us/azure/cloud-adoption-framework/migrate/plan-migration" TargetMode="External" Id="rId20"/><Relationship Type="http://schemas.openxmlformats.org/officeDocument/2006/relationships/hyperlink" Target="https://learn.microsoft.com/en-us/azure/cloud-adoption-framework/migrate/release/complete-migration" TargetMode="External" Id="rId21"/><Relationship Type="http://schemas.openxmlformats.org/officeDocument/2006/relationships/hyperlink" Target="https://learn.microsoft.com/en-us/azure/cloud-adoption-framework/relocate/cutover" TargetMode="External" Id="rId22"/><Relationship Type="http://schemas.openxmlformats.org/officeDocument/2006/relationships/hyperlink" Target="https://github.com/Azure/review-checklists/tree/main/spreadsheet/macrofree" TargetMode="External" Id="rId23"/><Relationship Type="http://schemas.openxmlformats.org/officeDocument/2006/relationships/table" Target="/xl/tables/table9.xml" Id="rId24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tabColor rgb="00C41230"/>
    <outlinePr summaryBelow="1" summaryRight="1"/>
    <pageSetUpPr fitToPage="1"/>
  </sheetPr>
  <dimension ref="A1:F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18" customWidth="1" min="4" max="4"/>
    <col width="18" customWidth="1" min="5" max="5"/>
    <col width="18" customWidth="1" min="6" max="6"/>
  </cols>
  <sheetData>
    <row r="1" ht="24" customHeight="1">
      <c r="A1" s="1" t="inlineStr">
        <is>
          <t>CARI ARB Design Evidence Workbook</t>
        </is>
      </c>
      <c r="B1" s="14" t="n"/>
      <c r="C1" s="14" t="n"/>
      <c r="D1" s="14" t="n"/>
      <c r="E1" s="14" t="n"/>
      <c r="F1" s="15" t="n"/>
    </row>
    <row r="2" ht="24" customHeight="1">
      <c r="A2" s="3" t="inlineStr">
        <is>
          <t>Prepare evidence before upload. The CARI review scores only explicit, traceable design evidence.</t>
        </is>
      </c>
      <c r="B2" s="14" t="n"/>
      <c r="C2" s="14" t="n"/>
      <c r="D2" s="14" t="n"/>
      <c r="E2" s="14" t="n"/>
      <c r="F2" s="15" t="n"/>
    </row>
    <row r="3" ht="24" customHeight="1">
      <c r="A3" s="2" t="n"/>
      <c r="B3" s="2" t="n"/>
      <c r="C3" s="2" t="n"/>
      <c r="D3" s="2" t="n"/>
      <c r="E3" s="2" t="n"/>
      <c r="F3" s="2" t="n"/>
    </row>
    <row r="4" ht="24" customHeight="1">
      <c r="A4" s="4" t="inlineStr">
        <is>
          <t>1</t>
        </is>
      </c>
      <c r="B4" s="5" t="inlineStr">
        <is>
          <t>Complete Project Summary</t>
        </is>
      </c>
      <c r="C4" s="6" t="inlineStr">
        <is>
          <t>Name the workload, decision requested, owner, regions, dates, and scope.</t>
        </is>
      </c>
      <c r="D4" s="14" t="n"/>
      <c r="E4" s="14" t="n"/>
      <c r="F4" s="15" t="n"/>
    </row>
    <row r="5" ht="24" customHeight="1">
      <c r="A5" s="2" t="n"/>
      <c r="B5" s="2" t="n"/>
      <c r="C5" s="2" t="n"/>
      <c r="D5" s="2" t="n"/>
      <c r="E5" s="2" t="n"/>
      <c r="F5" s="2" t="n"/>
    </row>
    <row r="6" ht="24" customHeight="1">
      <c r="A6" s="4" t="inlineStr">
        <is>
          <t>2</t>
        </is>
      </c>
      <c r="B6" s="5" t="inlineStr">
        <is>
          <t>Fill Review Checklist</t>
        </is>
      </c>
      <c r="C6" s="6" t="inlineStr">
        <is>
          <t>Use status values to mark each control as Fulfilled, Open, In progress, Not verified, or Not required.</t>
        </is>
      </c>
      <c r="D6" s="14" t="n"/>
      <c r="E6" s="14" t="n"/>
      <c r="F6" s="15" t="n"/>
    </row>
    <row r="7" ht="24" customHeight="1">
      <c r="A7" s="2" t="n"/>
      <c r="B7" s="2" t="n"/>
      <c r="C7" s="2" t="n"/>
      <c r="D7" s="2" t="n"/>
      <c r="E7" s="2" t="n"/>
      <c r="F7" s="2" t="n"/>
    </row>
    <row r="8" ht="24" customHeight="1">
      <c r="A8" s="4" t="inlineStr">
        <is>
          <t>3</t>
        </is>
      </c>
      <c r="B8" s="5" t="inlineStr">
        <is>
          <t>Attach Evidence</t>
        </is>
      </c>
      <c r="C8" s="6" t="inlineStr">
        <is>
          <t>Reference document names, page numbers, diagrams, exports, IaC paths, runbooks, and screenshots.</t>
        </is>
      </c>
      <c r="D8" s="14" t="n"/>
      <c r="E8" s="14" t="n"/>
      <c r="F8" s="15" t="n"/>
    </row>
    <row r="9" ht="24" customHeight="1">
      <c r="A9" s="2" t="n"/>
      <c r="B9" s="2" t="n"/>
      <c r="C9" s="2" t="n"/>
      <c r="D9" s="2" t="n"/>
      <c r="E9" s="2" t="n"/>
      <c r="F9" s="2" t="n"/>
    </row>
    <row r="10" ht="24" customHeight="1">
      <c r="A10" s="4" t="inlineStr">
        <is>
          <t>4</t>
        </is>
      </c>
      <c r="B10" s="5" t="inlineStr">
        <is>
          <t>Review Dashboard</t>
        </is>
      </c>
      <c r="C10" s="6" t="inlineStr">
        <is>
          <t>Use the dashboard to confirm no critical/high items are unresolved before uploading to CARI.</t>
        </is>
      </c>
      <c r="D10" s="14" t="n"/>
      <c r="E10" s="14" t="n"/>
      <c r="F10" s="15" t="n"/>
    </row>
    <row r="11" ht="24" customHeight="1">
      <c r="A11" s="2" t="n"/>
      <c r="B11" s="2" t="n"/>
      <c r="C11" s="2" t="n"/>
      <c r="D11" s="2" t="n"/>
      <c r="E11" s="2" t="n"/>
      <c r="F11" s="2" t="n"/>
    </row>
    <row r="12" ht="24" customHeight="1">
      <c r="A12" s="2" t="n"/>
      <c r="B12" s="2" t="n"/>
      <c r="C12" s="2" t="n"/>
      <c r="D12" s="2" t="n"/>
      <c r="E12" s="2" t="n"/>
      <c r="F12" s="2" t="n"/>
    </row>
    <row r="13" ht="24" customHeight="1">
      <c r="A13" s="7" t="inlineStr">
        <is>
          <t>Status legend</t>
        </is>
      </c>
      <c r="B13" s="2" t="n"/>
      <c r="C13" s="2" t="n"/>
      <c r="D13" s="2" t="n"/>
      <c r="E13" s="2" t="n"/>
      <c r="F13" s="2" t="n"/>
    </row>
    <row r="14" ht="24" customHeight="1">
      <c r="A14" s="8" t="inlineStr">
        <is>
          <t>Fulfilled</t>
        </is>
      </c>
      <c r="B14" s="2" t="inlineStr">
        <is>
          <t>Evidence is complete and traceable.</t>
        </is>
      </c>
      <c r="C14" s="14" t="n"/>
      <c r="D14" s="14" t="n"/>
      <c r="E14" s="15" t="n"/>
      <c r="F14" s="2" t="n"/>
    </row>
    <row r="15" ht="24" customHeight="1">
      <c r="A15" s="8" t="inlineStr">
        <is>
          <t>Open</t>
        </is>
      </c>
      <c r="B15" s="2" t="inlineStr">
        <is>
          <t>A gap or action remains.</t>
        </is>
      </c>
      <c r="C15" s="14" t="n"/>
      <c r="D15" s="14" t="n"/>
      <c r="E15" s="15" t="n"/>
      <c r="F15" s="2" t="n"/>
    </row>
    <row r="16" ht="24" customHeight="1">
      <c r="A16" s="8" t="inlineStr">
        <is>
          <t>In progress</t>
        </is>
      </c>
      <c r="B16" s="2" t="inlineStr">
        <is>
          <t>Evidence/remediation is underway.</t>
        </is>
      </c>
      <c r="C16" s="14" t="n"/>
      <c r="D16" s="14" t="n"/>
      <c r="E16" s="15" t="n"/>
      <c r="F16" s="2" t="n"/>
    </row>
    <row r="17" ht="24" customHeight="1">
      <c r="A17" s="8" t="inlineStr">
        <is>
          <t>Not verified</t>
        </is>
      </c>
      <c r="B17" s="2" t="inlineStr">
        <is>
          <t>Not reviewed yet.</t>
        </is>
      </c>
      <c r="C17" s="14" t="n"/>
      <c r="D17" s="14" t="n"/>
      <c r="E17" s="15" t="n"/>
      <c r="F17" s="2" t="n"/>
    </row>
    <row r="18" ht="24" customHeight="1">
      <c r="A18" s="8" t="inlineStr">
        <is>
          <t>Not required</t>
        </is>
      </c>
      <c r="B18" s="2" t="inlineStr">
        <is>
          <t>Not applicable; rationale documented.</t>
        </is>
      </c>
      <c r="C18" s="14" t="n"/>
      <c r="D18" s="14" t="n"/>
      <c r="E18" s="15" t="n"/>
      <c r="F18" s="2" t="n"/>
    </row>
  </sheetData>
  <mergeCells count="11">
    <mergeCell ref="A2:F2"/>
    <mergeCell ref="B17:E17"/>
    <mergeCell ref="B18:E18"/>
    <mergeCell ref="C8:F8"/>
    <mergeCell ref="C4:F4"/>
    <mergeCell ref="A1:F1"/>
    <mergeCell ref="B16:E16"/>
    <mergeCell ref="C6:F6"/>
    <mergeCell ref="B15:E15"/>
    <mergeCell ref="C10:F10"/>
    <mergeCell ref="B14:E14"/>
  </mergeCells>
  <pageMargins left="0.25" right="0.25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000F172A"/>
    <outlinePr summaryBelow="1" summaryRight="1"/>
    <pageSetUpPr fitToPage="1"/>
  </sheetPr>
  <dimension ref="A1:F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60" customWidth="1" min="3" max="3"/>
    <col width="18" customWidth="1" min="4" max="4"/>
    <col width="18" customWidth="1" min="5" max="5"/>
    <col width="18" customWidth="1" min="6" max="6"/>
  </cols>
  <sheetData>
    <row r="1" ht="24" customHeight="1">
      <c r="A1" s="1" t="inlineStr">
        <is>
          <t>Readiness Dashboard</t>
        </is>
      </c>
      <c r="B1" s="14" t="n"/>
      <c r="C1" s="14" t="n"/>
      <c r="D1" s="14" t="n"/>
      <c r="E1" s="14" t="n"/>
      <c r="F1" s="15" t="n"/>
    </row>
    <row r="2" ht="24" customHeight="1">
      <c r="A2" s="9" t="inlineStr">
        <is>
          <t>Use this sheet to quickly see whether the package is ready for CARI upload.</t>
        </is>
      </c>
      <c r="B2" s="14" t="n"/>
      <c r="C2" s="14" t="n"/>
      <c r="D2" s="14" t="n"/>
      <c r="E2" s="14" t="n"/>
      <c r="F2" s="15" t="n"/>
    </row>
    <row r="3" ht="24" customHeight="1">
      <c r="A3" s="2" t="n"/>
      <c r="B3" s="2" t="n"/>
      <c r="C3" s="2" t="n"/>
      <c r="D3" s="2" t="n"/>
      <c r="E3" s="2" t="n"/>
      <c r="F3" s="2" t="n"/>
    </row>
    <row r="4" ht="24" customHeight="1">
      <c r="A4" s="10" t="inlineStr">
        <is>
          <t>Metric</t>
        </is>
      </c>
      <c r="B4" s="10" t="inlineStr">
        <is>
          <t>Value</t>
        </is>
      </c>
      <c r="C4" s="10" t="inlineStr">
        <is>
          <t>Meaning</t>
        </is>
      </c>
      <c r="D4" s="2" t="n"/>
      <c r="E4" s="2" t="n"/>
      <c r="F4" s="2" t="n"/>
    </row>
    <row r="5" ht="24" customHeight="1">
      <c r="A5" s="2" t="inlineStr">
        <is>
          <t>Total checks</t>
        </is>
      </c>
      <c r="B5" s="2">
        <f>COUNTA('Review Checklist'!A5:A200)</f>
        <v/>
      </c>
      <c r="C5" s="2" t="inlineStr">
        <is>
          <t>Total checklist rows with a Check ID</t>
        </is>
      </c>
      <c r="D5" s="2" t="n"/>
      <c r="E5" s="2" t="n"/>
      <c r="F5" s="2" t="n"/>
    </row>
    <row r="6" ht="24" customHeight="1">
      <c r="A6" s="2" t="inlineStr">
        <is>
          <t>Fulfilled</t>
        </is>
      </c>
      <c r="B6" s="2">
        <f>COUNTIFS('Review Checklist'!A5:A200,"&lt;&gt;",'Review Checklist'!G5:G200,"Fulfilled")</f>
        <v/>
      </c>
      <c r="C6" s="2" t="inlineStr">
        <is>
          <t>Evidence is complete</t>
        </is>
      </c>
      <c r="D6" s="2" t="n"/>
      <c r="E6" s="2" t="n"/>
      <c r="F6" s="2" t="n"/>
    </row>
    <row r="7" ht="24" customHeight="1">
      <c r="A7" s="2" t="inlineStr">
        <is>
          <t>Open</t>
        </is>
      </c>
      <c r="B7" s="2">
        <f>COUNTIFS('Review Checklist'!A5:A200,"&lt;&gt;",'Review Checklist'!G5:G200,"Open")</f>
        <v/>
      </c>
      <c r="C7" s="2" t="inlineStr">
        <is>
          <t>Gaps requiring action</t>
        </is>
      </c>
      <c r="D7" s="2" t="n"/>
      <c r="E7" s="2" t="n"/>
      <c r="F7" s="2" t="n"/>
    </row>
    <row r="8" ht="24" customHeight="1">
      <c r="A8" s="2" t="inlineStr">
        <is>
          <t>In progress</t>
        </is>
      </c>
      <c r="B8" s="2">
        <f>COUNTIFS('Review Checklist'!A5:A200,"&lt;&gt;",'Review Checklist'!G5:G200,"In progress")</f>
        <v/>
      </c>
      <c r="C8" s="2" t="inlineStr">
        <is>
          <t>Evidence is being prepared</t>
        </is>
      </c>
      <c r="D8" s="2" t="n"/>
      <c r="E8" s="2" t="n"/>
      <c r="F8" s="2" t="n"/>
    </row>
    <row r="9" ht="24" customHeight="1">
      <c r="A9" s="2" t="inlineStr">
        <is>
          <t>Not verified</t>
        </is>
      </c>
      <c r="B9" s="2">
        <f>COUNTIFS('Review Checklist'!A5:A200,"&lt;&gt;",'Review Checklist'!G5:G200,"Not verified")</f>
        <v/>
      </c>
      <c r="C9" s="2" t="inlineStr">
        <is>
          <t>Unreviewed rows</t>
        </is>
      </c>
      <c r="D9" s="2" t="n"/>
      <c r="E9" s="2" t="n"/>
      <c r="F9" s="2" t="n"/>
    </row>
    <row r="10" ht="24" customHeight="1">
      <c r="A10" s="2" t="inlineStr">
        <is>
          <t>Not required</t>
        </is>
      </c>
      <c r="B10" s="2">
        <f>COUNTIFS('Review Checklist'!A5:A200,"&lt;&gt;",'Review Checklist'!G5:G200,"Not required")</f>
        <v/>
      </c>
      <c r="C10" s="2" t="inlineStr">
        <is>
          <t>Documented not applicable</t>
        </is>
      </c>
      <c r="D10" s="2" t="n"/>
      <c r="E10" s="2" t="n"/>
      <c r="F10" s="2" t="n"/>
    </row>
    <row r="11" ht="24" customHeight="1">
      <c r="A11" s="2" t="inlineStr">
        <is>
          <t>High/Critical open</t>
        </is>
      </c>
      <c r="B11" s="2">
        <f>COUNTIFS('Review Checklist'!A5:A200,"&lt;&gt;",'Review Checklist'!G5:G200,"Open",'Review Checklist'!F5:F200,"High")+COUNTIFS('Review Checklist'!A5:A200,"&lt;&gt;",'Review Checklist'!G5:G200,"Open",'Review Checklist'!F5:F200,"Critical")</f>
        <v/>
      </c>
      <c r="C11" s="2" t="inlineStr">
        <is>
          <t>Potential approval blockers</t>
        </is>
      </c>
      <c r="D11" s="2" t="n"/>
      <c r="E11" s="2" t="n"/>
      <c r="F11" s="2" t="n"/>
    </row>
    <row r="12" ht="24" customHeight="1">
      <c r="A12" s="2" t="inlineStr">
        <is>
          <t>Readiness</t>
        </is>
      </c>
      <c r="B12" s="2">
        <f>IF(B5=0,"No checks",IF(B11&gt;0,"Not ready",IF(B7+B8+B9&gt;0,"Ready with gaps","Ready for review")))</f>
        <v/>
      </c>
      <c r="C12" s="2" t="inlineStr">
        <is>
          <t>Target: Ready for review</t>
        </is>
      </c>
      <c r="D12" s="2" t="n"/>
      <c r="E12" s="2" t="n"/>
      <c r="F12" s="2" t="n"/>
    </row>
  </sheetData>
  <mergeCells count="2">
    <mergeCell ref="A2:F2"/>
    <mergeCell ref="A1:F1"/>
  </mergeCells>
  <conditionalFormatting sqref="B10">
    <cfRule type="cellIs" priority="1" operator="greaterThan" dxfId="0">
      <formula>0</formula>
    </cfRule>
  </conditionalFormatting>
  <pageMargins left="0.25" right="0.25" top="0.5" bottom="0.5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00C41230"/>
    <outlinePr summaryBelow="1" summaryRight="1"/>
    <pageSetUpPr fitToPage="1"/>
  </sheetPr>
  <dimension ref="A1:M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4" customWidth="1" min="3" max="3"/>
    <col width="46" customWidth="1" min="4" max="4"/>
    <col width="42" customWidth="1" min="5" max="5"/>
    <col width="12" customWidth="1" min="6" max="6"/>
    <col width="16" customWidth="1" min="7" max="7"/>
    <col width="40" customWidth="1" min="8" max="8"/>
    <col width="38" customWidth="1" min="9" max="9"/>
    <col width="38" customWidth="1" min="10" max="10"/>
    <col width="22" customWidth="1" min="11" max="11"/>
    <col width="38" customWidth="1" min="12" max="12"/>
    <col width="20" customWidth="1" min="13" max="13"/>
  </cols>
  <sheetData>
    <row r="1" ht="24" customHeight="1">
      <c r="A1" s="1" t="inlineStr">
        <is>
          <t>Review Checklist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5" t="n"/>
    </row>
    <row r="2" ht="24" customHeight="1">
      <c r="A2" s="9" t="inlineStr">
        <is>
          <t>Use this as the primary control checklist. Add rows for service-specific checks where needed.</t>
        </is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5" t="n"/>
    </row>
    <row r="3" ht="24" customHeight="1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</row>
    <row r="4" ht="24" customHeight="1">
      <c r="A4" s="10" t="inlineStr">
        <is>
          <t>Check ID</t>
        </is>
      </c>
      <c r="B4" s="10" t="inlineStr">
        <is>
          <t>Main Area</t>
        </is>
      </c>
      <c r="C4" s="10" t="inlineStr">
        <is>
          <t>Sub Area</t>
        </is>
      </c>
      <c r="D4" s="10" t="inlineStr">
        <is>
          <t>Checklist item</t>
        </is>
      </c>
      <c r="E4" s="10" t="inlineStr">
        <is>
          <t>Description</t>
        </is>
      </c>
      <c r="F4" s="10" t="inlineStr">
        <is>
          <t>Severity</t>
        </is>
      </c>
      <c r="G4" s="10" t="inlineStr">
        <is>
          <t>Status</t>
        </is>
      </c>
      <c r="H4" s="10" t="inlineStr">
        <is>
          <t>Evidence / comment</t>
        </is>
      </c>
      <c r="I4" s="10" t="inlineStr">
        <is>
          <t>More info</t>
        </is>
      </c>
      <c r="J4" s="10" t="inlineStr">
        <is>
          <t>Training</t>
        </is>
      </c>
      <c r="K4" s="10" t="inlineStr">
        <is>
          <t>WAF pillar</t>
        </is>
      </c>
      <c r="L4" s="10" t="inlineStr">
        <is>
          <t>Evidence required</t>
        </is>
      </c>
      <c r="M4" s="10" t="inlineStr">
        <is>
          <t>Source checklist</t>
        </is>
      </c>
    </row>
    <row r="5" ht="24" customHeight="1">
      <c r="A5" s="11" t="inlineStr">
        <is>
          <t>CARI-SEC-001</t>
        </is>
      </c>
      <c r="B5" s="11" t="inlineStr">
        <is>
          <t>Security</t>
        </is>
      </c>
      <c r="C5" s="11" t="inlineStr">
        <is>
          <t>Identity and access</t>
        </is>
      </c>
      <c r="D5" s="11" t="inlineStr">
        <is>
          <t>Document tenant model, RBAC, PIM, managed identities, break-glass access, and access review process.</t>
        </is>
      </c>
      <c r="E5" s="11" t="inlineStr">
        <is>
          <t>Required for least privilege and privileged access validation.</t>
        </is>
      </c>
      <c r="F5" s="11" t="inlineStr">
        <is>
          <t>High</t>
        </is>
      </c>
      <c r="G5" s="11" t="inlineStr">
        <is>
          <t>Not verified</t>
        </is>
      </c>
      <c r="H5" s="11" t="inlineStr"/>
      <c r="I5" s="12" t="inlineStr">
        <is>
          <t>https://learn.microsoft.com/en-us/azure/well-architected/security/</t>
        </is>
      </c>
      <c r="J5" s="12" t="inlineStr">
        <is>
          <t>https://learn.microsoft.com/en-us/azure/cloud-adoption-framework/secure/</t>
        </is>
      </c>
      <c r="K5" s="11" t="inlineStr">
        <is>
          <t>Security</t>
        </is>
      </c>
      <c r="L5" s="11" t="inlineStr">
        <is>
          <t>Identity design; access matrix; PIM policy; RBAC export</t>
        </is>
      </c>
      <c r="M5" s="11" t="inlineStr">
        <is>
          <t>CARI / WAF / ALZ</t>
        </is>
      </c>
    </row>
    <row r="6" ht="24" customHeight="1">
      <c r="A6" s="11" t="inlineStr">
        <is>
          <t>CARI-SEC-002</t>
        </is>
      </c>
      <c r="B6" s="11" t="inlineStr">
        <is>
          <t>Security</t>
        </is>
      </c>
      <c r="C6" s="11" t="inlineStr">
        <is>
          <t>Secrets and encryption</t>
        </is>
      </c>
      <c r="D6" s="11" t="inlineStr">
        <is>
          <t>Document Key Vault, secret rotation, certificate lifecycle, encryption at rest, and encryption in transit.</t>
        </is>
      </c>
      <c r="E6" s="11" t="inlineStr">
        <is>
          <t>Prevents unmanaged secrets and weak data protection evidence.</t>
        </is>
      </c>
      <c r="F6" s="11" t="inlineStr">
        <is>
          <t>High</t>
        </is>
      </c>
      <c r="G6" s="11" t="inlineStr">
        <is>
          <t>Not verified</t>
        </is>
      </c>
      <c r="H6" s="11" t="inlineStr"/>
      <c r="I6" s="12" t="inlineStr">
        <is>
          <t>https://learn.microsoft.com/en-us/azure/well-architected/security/</t>
        </is>
      </c>
      <c r="J6" s="12" t="inlineStr">
        <is>
          <t>https://learn.microsoft.com/en-us/azure/cloud-adoption-framework/secure/</t>
        </is>
      </c>
      <c r="K6" s="11" t="inlineStr">
        <is>
          <t>Security</t>
        </is>
      </c>
      <c r="L6" s="11" t="inlineStr">
        <is>
          <t>Key Vault design; certificate plan; encryption statement</t>
        </is>
      </c>
      <c r="M6" s="11" t="inlineStr">
        <is>
          <t>CARI / WAF</t>
        </is>
      </c>
    </row>
    <row r="7" ht="24" customHeight="1">
      <c r="A7" s="11" t="inlineStr">
        <is>
          <t>CARI-NET-001</t>
        </is>
      </c>
      <c r="B7" s="11" t="inlineStr">
        <is>
          <t>Security</t>
        </is>
      </c>
      <c r="C7" s="11" t="inlineStr">
        <is>
          <t>Network topology and perimeter</t>
        </is>
      </c>
      <c r="D7" s="11" t="inlineStr">
        <is>
          <t>Document hub-spoke or VWAN, subnets, NSGs, route tables, Firewall, WAF, APIM, Private Endpoints, and DNS.</t>
        </is>
      </c>
      <c r="E7" s="11" t="inlineStr">
        <is>
          <t>Required for attack surface and private connectivity assessment.</t>
        </is>
      </c>
      <c r="F7" s="11" t="inlineStr">
        <is>
          <t>High</t>
        </is>
      </c>
      <c r="G7" s="11" t="inlineStr">
        <is>
          <t>Not verified</t>
        </is>
      </c>
      <c r="H7" s="11" t="inlineStr"/>
      <c r="I7" s="12" t="inlineStr">
        <is>
          <t>https://learn.microsoft.com/en-us/azure/cloud-adoption-framework/ready/landing-zone/design-areas</t>
        </is>
      </c>
      <c r="J7" s="12" t="inlineStr">
        <is>
          <t>https://learn.microsoft.com/en-us/azure/cloud-adoption-framework/ready/landing-zone/design-principles</t>
        </is>
      </c>
      <c r="K7" s="11" t="inlineStr">
        <is>
          <t>Security</t>
        </is>
      </c>
      <c r="L7" s="11" t="inlineStr">
        <is>
          <t>Network diagram; NSG table; private endpoint list; DNS zones</t>
        </is>
      </c>
      <c r="M7" s="11" t="inlineStr">
        <is>
          <t>CARI / ALZ</t>
        </is>
      </c>
    </row>
    <row r="8" ht="24" customHeight="1">
      <c r="A8" s="11" t="inlineStr">
        <is>
          <t>CARI-REL-001</t>
        </is>
      </c>
      <c r="B8" s="11" t="inlineStr">
        <is>
          <t>Reliability</t>
        </is>
      </c>
      <c r="C8" s="11" t="inlineStr">
        <is>
          <t>Availability and resilience</t>
        </is>
      </c>
      <c r="D8" s="11" t="inlineStr">
        <is>
          <t>Document availability zones, redundancy, health probes, retry behavior, and dependency resilience.</t>
        </is>
      </c>
      <c r="E8" s="11" t="inlineStr">
        <is>
          <t>Required for WAF Reliability scoring.</t>
        </is>
      </c>
      <c r="F8" s="11" t="inlineStr">
        <is>
          <t>High</t>
        </is>
      </c>
      <c r="G8" s="11" t="inlineStr">
        <is>
          <t>Not verified</t>
        </is>
      </c>
      <c r="H8" s="11" t="inlineStr"/>
      <c r="I8" s="12" t="inlineStr">
        <is>
          <t>https://learn.microsoft.com/en-us/azure/well-architected/reliability/</t>
        </is>
      </c>
      <c r="J8" s="12" t="inlineStr">
        <is>
          <t>https://learn.microsoft.com/en-us/azure/well-architected/reliability/</t>
        </is>
      </c>
      <c r="K8" s="11" t="inlineStr">
        <is>
          <t>Reliability</t>
        </is>
      </c>
      <c r="L8" s="11" t="inlineStr">
        <is>
          <t>HA diagram; SLO/SLA table; dependency map</t>
        </is>
      </c>
      <c r="M8" s="11" t="inlineStr">
        <is>
          <t>CARI / WAF</t>
        </is>
      </c>
    </row>
    <row r="9" ht="24" customHeight="1">
      <c r="A9" s="11" t="inlineStr">
        <is>
          <t>CARI-REL-002</t>
        </is>
      </c>
      <c r="B9" s="11" t="inlineStr">
        <is>
          <t>Reliability</t>
        </is>
      </c>
      <c r="C9" s="11" t="inlineStr">
        <is>
          <t>Backup and DR</t>
        </is>
      </c>
      <c r="D9" s="11" t="inlineStr">
        <is>
          <t>Document RTO/RPO, backup policy, restore testing, failover process, and DR runbook.</t>
        </is>
      </c>
      <c r="E9" s="11" t="inlineStr">
        <is>
          <t>Required for board confidence on recovery capability.</t>
        </is>
      </c>
      <c r="F9" s="11" t="inlineStr">
        <is>
          <t>High</t>
        </is>
      </c>
      <c r="G9" s="11" t="inlineStr">
        <is>
          <t>Not verified</t>
        </is>
      </c>
      <c r="H9" s="11" t="inlineStr"/>
      <c r="I9" s="12" t="inlineStr">
        <is>
          <t>https://learn.microsoft.com/en-us/azure/well-architected/reliability/</t>
        </is>
      </c>
      <c r="J9" s="12" t="inlineStr">
        <is>
          <t>https://learn.microsoft.com/en-us/azure/cloud-adoption-framework/migrate/release/complete-migration</t>
        </is>
      </c>
      <c r="K9" s="11" t="inlineStr">
        <is>
          <t>Reliability</t>
        </is>
      </c>
      <c r="L9" s="11" t="inlineStr">
        <is>
          <t>Backup policy; DR runbook; restore/failover test</t>
        </is>
      </c>
      <c r="M9" s="11" t="inlineStr">
        <is>
          <t>CARI / WAF</t>
        </is>
      </c>
    </row>
    <row r="10" ht="24" customHeight="1">
      <c r="A10" s="11" t="inlineStr">
        <is>
          <t>CARI-OPS-001</t>
        </is>
      </c>
      <c r="B10" s="11" t="inlineStr">
        <is>
          <t>Operations</t>
        </is>
      </c>
      <c r="C10" s="11" t="inlineStr">
        <is>
          <t>IaC and deployment</t>
        </is>
      </c>
      <c r="D10" s="11" t="inlineStr">
        <is>
          <t>Document IaC source, CI/CD workflow, environment promotion, change control, rollback, and drift management.</t>
        </is>
      </c>
      <c r="E10" s="11" t="inlineStr">
        <is>
          <t>Confirms repeatable deployment and operational control.</t>
        </is>
      </c>
      <c r="F10" s="11" t="inlineStr">
        <is>
          <t>Medium</t>
        </is>
      </c>
      <c r="G10" s="11" t="inlineStr">
        <is>
          <t>Not verified</t>
        </is>
      </c>
      <c r="H10" s="11" t="inlineStr"/>
      <c r="I10" s="12" t="inlineStr">
        <is>
          <t>https://learn.microsoft.com/en-us/azure/well-architected/operational-excellence/</t>
        </is>
      </c>
      <c r="J10" s="12" t="inlineStr">
        <is>
          <t>https://learn.microsoft.com/en-us/azure/cloud-adoption-framework/manage/</t>
        </is>
      </c>
      <c r="K10" s="11" t="inlineStr">
        <is>
          <t>Operational Excellence</t>
        </is>
      </c>
      <c r="L10" s="11" t="inlineStr">
        <is>
          <t>Repo link; pipeline export; rollback plan</t>
        </is>
      </c>
      <c r="M10" s="11" t="inlineStr">
        <is>
          <t>CARI / WAF / CAF</t>
        </is>
      </c>
    </row>
    <row r="11" ht="24" customHeight="1">
      <c r="A11" s="11" t="inlineStr">
        <is>
          <t>CARI-OPS-002</t>
        </is>
      </c>
      <c r="B11" s="11" t="inlineStr">
        <is>
          <t>Operations</t>
        </is>
      </c>
      <c r="C11" s="11" t="inlineStr">
        <is>
          <t>Monitoring and support</t>
        </is>
      </c>
      <c r="D11" s="11" t="inlineStr">
        <is>
          <t>Document logging, alert rules, dashboards, runbooks, incident process, support RACI, and escalation paths.</t>
        </is>
      </c>
      <c r="E11" s="11" t="inlineStr">
        <is>
          <t>Confirms support readiness after go-live.</t>
        </is>
      </c>
      <c r="F11" s="11" t="inlineStr">
        <is>
          <t>Medium</t>
        </is>
      </c>
      <c r="G11" s="11" t="inlineStr">
        <is>
          <t>Not verified</t>
        </is>
      </c>
      <c r="H11" s="11" t="inlineStr"/>
      <c r="I11" s="12" t="inlineStr">
        <is>
          <t>https://learn.microsoft.com/en-us/azure/well-architected/operational-excellence/</t>
        </is>
      </c>
      <c r="J11" s="12" t="inlineStr">
        <is>
          <t>https://learn.microsoft.com/en-us/azure/cloud-adoption-framework/manage/</t>
        </is>
      </c>
      <c r="K11" s="11" t="inlineStr">
        <is>
          <t>Operational Excellence</t>
        </is>
      </c>
      <c r="L11" s="11" t="inlineStr">
        <is>
          <t>Alert matrix; Log Analytics design; runbooks; RACI</t>
        </is>
      </c>
      <c r="M11" s="11" t="inlineStr">
        <is>
          <t>CARI / WAF / CAF</t>
        </is>
      </c>
    </row>
    <row r="12" ht="24" customHeight="1">
      <c r="A12" s="11" t="inlineStr">
        <is>
          <t>CARI-COST-001</t>
        </is>
      </c>
      <c r="B12" s="11" t="inlineStr">
        <is>
          <t>Cost</t>
        </is>
      </c>
      <c r="C12" s="11" t="inlineStr">
        <is>
          <t>Cost model and ownership</t>
        </is>
      </c>
      <c r="D12" s="11" t="inlineStr">
        <is>
          <t>Document pricing estimate, SKU rationale, autoscale, reservations/savings plan, budgets, alerts, and cost owner.</t>
        </is>
      </c>
      <c r="E12" s="11" t="inlineStr">
        <is>
          <t>Confirms commercial fit and cost control.</t>
        </is>
      </c>
      <c r="F12" s="11" t="inlineStr">
        <is>
          <t>Medium</t>
        </is>
      </c>
      <c r="G12" s="11" t="inlineStr">
        <is>
          <t>Not verified</t>
        </is>
      </c>
      <c r="H12" s="11" t="inlineStr"/>
      <c r="I12" s="12" t="inlineStr">
        <is>
          <t>https://learn.microsoft.com/en-us/azure/well-architected/cost-optimization/</t>
        </is>
      </c>
      <c r="J12" s="12" t="inlineStr">
        <is>
          <t>https://learn.microsoft.com/en-us/azure/well-architected/cost-optimization/</t>
        </is>
      </c>
      <c r="K12" s="11" t="inlineStr">
        <is>
          <t>Cost Optimization</t>
        </is>
      </c>
      <c r="L12" s="11" t="inlineStr">
        <is>
          <t>Pricing export; SKU rationale; budget policy</t>
        </is>
      </c>
      <c r="M12" s="11" t="inlineStr">
        <is>
          <t>CARI / WAF</t>
        </is>
      </c>
    </row>
    <row r="13" ht="24" customHeight="1">
      <c r="A13" s="11" t="inlineStr">
        <is>
          <t>CARI-PERF-001</t>
        </is>
      </c>
      <c r="B13" s="11" t="inlineStr">
        <is>
          <t>Performance</t>
        </is>
      </c>
      <c r="C13" s="11" t="inlineStr">
        <is>
          <t>Capacity and scale</t>
        </is>
      </c>
      <c r="D13" s="11" t="inlineStr">
        <is>
          <t>Document workload NFRs, peak load, latency targets, caching, async design, load testing, and scale limits.</t>
        </is>
      </c>
      <c r="E13" s="11" t="inlineStr">
        <is>
          <t>Confirms the design can meet stated performance targets.</t>
        </is>
      </c>
      <c r="F13" s="11" t="inlineStr">
        <is>
          <t>Medium</t>
        </is>
      </c>
      <c r="G13" s="11" t="inlineStr">
        <is>
          <t>Not verified</t>
        </is>
      </c>
      <c r="H13" s="11" t="inlineStr"/>
      <c r="I13" s="12" t="inlineStr">
        <is>
          <t>https://learn.microsoft.com/en-us/azure/well-architected/performance-efficiency/</t>
        </is>
      </c>
      <c r="J13" s="12" t="inlineStr">
        <is>
          <t>https://learn.microsoft.com/en-us/azure/well-architected/performance-efficiency/</t>
        </is>
      </c>
      <c r="K13" s="11" t="inlineStr">
        <is>
          <t>Performance Efficiency</t>
        </is>
      </c>
      <c r="L13" s="11" t="inlineStr">
        <is>
          <t>NFR table; capacity model; load test report</t>
        </is>
      </c>
      <c r="M13" s="11" t="inlineStr">
        <is>
          <t>CARI / WAF</t>
        </is>
      </c>
    </row>
    <row r="14" ht="24" customHeight="1">
      <c r="A14" s="11" t="inlineStr">
        <is>
          <t>CARI-ALZ-001</t>
        </is>
      </c>
      <c r="B14" s="11" t="inlineStr">
        <is>
          <t>CAF / ALZ Governance</t>
        </is>
      </c>
      <c r="C14" s="11" t="inlineStr">
        <is>
          <t>Platform foundation</t>
        </is>
      </c>
      <c r="D14" s="11" t="inlineStr">
        <is>
          <t>Document management groups, subscriptions, policy assignments, RBAC, central logging, connectivity, and subscription vending.</t>
        </is>
      </c>
      <c r="E14" s="11" t="inlineStr">
        <is>
          <t>Required for Azure landing zone alignment.</t>
        </is>
      </c>
      <c r="F14" s="11" t="inlineStr">
        <is>
          <t>High</t>
        </is>
      </c>
      <c r="G14" s="11" t="inlineStr">
        <is>
          <t>Not verified</t>
        </is>
      </c>
      <c r="H14" s="11" t="inlineStr"/>
      <c r="I14" s="12" t="inlineStr">
        <is>
          <t>https://learn.microsoft.com/en-us/azure/cloud-adoption-framework/ready/landing-zone/</t>
        </is>
      </c>
      <c r="J14" s="12" t="inlineStr">
        <is>
          <t>https://learn.microsoft.com/en-us/azure/cloud-adoption-framework/ready/landing-zone/design-areas</t>
        </is>
      </c>
      <c r="K14" s="11" t="inlineStr">
        <is>
          <t>ALZ</t>
        </is>
      </c>
      <c r="L14" s="11" t="inlineStr">
        <is>
          <t>ALZ diagram; policy export; subscription map</t>
        </is>
      </c>
      <c r="M14" s="11" t="inlineStr">
        <is>
          <t>CARI / ALZ</t>
        </is>
      </c>
    </row>
    <row r="15" ht="24" customHeight="1">
      <c r="A15" s="11" t="inlineStr">
        <is>
          <t>CARI-DEL-001</t>
        </is>
      </c>
      <c r="B15" s="11" t="inlineStr">
        <is>
          <t>Delivery</t>
        </is>
      </c>
      <c r="C15" s="11" t="inlineStr">
        <is>
          <t>Requirements and traceability</t>
        </is>
      </c>
      <c r="D15" s="11" t="inlineStr">
        <is>
          <t>Map requirements to evidence locations, owners, status, assumptions, risks, and decision points.</t>
        </is>
      </c>
      <c r="E15" s="11" t="inlineStr">
        <is>
          <t>Prevents ambiguous review findings and unresolved ownership.</t>
        </is>
      </c>
      <c r="F15" s="11" t="inlineStr">
        <is>
          <t>Medium</t>
        </is>
      </c>
      <c r="G15" s="11" t="inlineStr">
        <is>
          <t>Not verified</t>
        </is>
      </c>
      <c r="H15" s="11" t="inlineStr"/>
      <c r="I15" s="12" t="inlineStr">
        <is>
          <t>https://learn.microsoft.com/en-us/azure/cloud-adoption-framework/plan/</t>
        </is>
      </c>
      <c r="J15" s="12" t="inlineStr">
        <is>
          <t>https://learn.microsoft.com/en-us/azure/cloud-adoption-framework/strategy/</t>
        </is>
      </c>
      <c r="K15" s="11" t="inlineStr">
        <is>
          <t>CAF</t>
        </is>
      </c>
      <c r="L15" s="11" t="inlineStr">
        <is>
          <t>Traceability matrix; risk log; decision register</t>
        </is>
      </c>
      <c r="M15" s="11" t="inlineStr">
        <is>
          <t>CARI / CAF</t>
        </is>
      </c>
    </row>
    <row r="16" ht="24" customHeight="1">
      <c r="A16" s="11" t="inlineStr">
        <is>
          <t>CARI-AI-001</t>
        </is>
      </c>
      <c r="B16" s="11" t="inlineStr">
        <is>
          <t>AI Landing Zone</t>
        </is>
      </c>
      <c r="C16" s="11" t="inlineStr">
        <is>
          <t>AI workload controls</t>
        </is>
      </c>
      <c r="D16" s="11" t="inlineStr">
        <is>
          <t>Document model architecture, grounding sources, responsible AI controls, content safety, private networking, evaluation, token/cost management.</t>
        </is>
      </c>
      <c r="E16" s="11" t="inlineStr">
        <is>
          <t>Required when AI services, Foundry, agents, RAG, or model endpoints are in scope.</t>
        </is>
      </c>
      <c r="F16" s="11" t="inlineStr">
        <is>
          <t>High</t>
        </is>
      </c>
      <c r="G16" s="11" t="inlineStr">
        <is>
          <t>Not required</t>
        </is>
      </c>
      <c r="H16" s="11" t="inlineStr"/>
      <c r="I16" s="12" t="inlineStr">
        <is>
          <t>https://learn.microsoft.com/en-us/azure/well-architected/ai/</t>
        </is>
      </c>
      <c r="J16" s="12" t="inlineStr">
        <is>
          <t>https://learn.microsoft.com/en-us/azure/architecture/ai-ml/architecture/baseline-microsoft-foundry-landing-zone</t>
        </is>
      </c>
      <c r="K16" s="11" t="inlineStr">
        <is>
          <t>AI</t>
        </is>
      </c>
      <c r="L16" s="11" t="inlineStr">
        <is>
          <t>AI architecture; model inventory; evaluation plan; safety config</t>
        </is>
      </c>
      <c r="M16" s="11" t="inlineStr">
        <is>
          <t>CARI / AI LZ</t>
        </is>
      </c>
    </row>
    <row r="17" ht="24" customHeight="1">
      <c r="A17" s="11" t="inlineStr">
        <is>
          <t>CARI-MIG-001</t>
        </is>
      </c>
      <c r="B17" s="11" t="inlineStr">
        <is>
          <t>Migration Readiness</t>
        </is>
      </c>
      <c r="C17" s="11" t="inlineStr">
        <is>
          <t>Cutover and rollback</t>
        </is>
      </c>
      <c r="D17" s="11" t="inlineStr">
        <is>
          <t>Document source inventory, assessment, migration waves, test migration, cutover, rollback, validation, and hypercare.</t>
        </is>
      </c>
      <c r="E17" s="11" t="inlineStr">
        <is>
          <t>Required when migration or cutover is in scope.</t>
        </is>
      </c>
      <c r="F17" s="11" t="inlineStr">
        <is>
          <t>Medium</t>
        </is>
      </c>
      <c r="G17" s="11" t="inlineStr">
        <is>
          <t>Not required</t>
        </is>
      </c>
      <c r="H17" s="11" t="inlineStr"/>
      <c r="I17" s="12" t="inlineStr">
        <is>
          <t>https://learn.microsoft.com/en-us/azure/migration/migrate-to-azure</t>
        </is>
      </c>
      <c r="J17" s="12" t="inlineStr">
        <is>
          <t>https://learn.microsoft.com/en-us/azure/cloud-adoption-framework/migrate/plan-migration</t>
        </is>
      </c>
      <c r="K17" s="11" t="inlineStr">
        <is>
          <t>Migration</t>
        </is>
      </c>
      <c r="L17" s="11" t="inlineStr">
        <is>
          <t>Azure Migrate assessment; runbook; rollback checklist</t>
        </is>
      </c>
      <c r="M17" s="11" t="inlineStr">
        <is>
          <t>CARI / Migration</t>
        </is>
      </c>
    </row>
    <row r="18" ht="24" customHeight="1">
      <c r="A18" s="11" t="inlineStr"/>
      <c r="B18" s="11" t="inlineStr"/>
      <c r="C18" s="11" t="inlineStr"/>
      <c r="D18" s="11" t="inlineStr"/>
      <c r="E18" s="11" t="inlineStr"/>
      <c r="F18" s="11" t="n"/>
      <c r="G18" s="11" t="n"/>
      <c r="H18" s="11" t="inlineStr"/>
      <c r="I18" s="11" t="inlineStr"/>
      <c r="J18" s="11" t="inlineStr"/>
      <c r="K18" s="11" t="inlineStr"/>
      <c r="L18" s="11" t="inlineStr"/>
      <c r="M18" s="11" t="inlineStr"/>
    </row>
    <row r="19" ht="24" customHeight="1">
      <c r="A19" s="11" t="inlineStr"/>
      <c r="B19" s="11" t="inlineStr"/>
      <c r="C19" s="11" t="inlineStr"/>
      <c r="D19" s="11" t="inlineStr"/>
      <c r="E19" s="11" t="inlineStr"/>
      <c r="F19" s="11" t="n"/>
      <c r="G19" s="11" t="n"/>
      <c r="H19" s="11" t="inlineStr"/>
      <c r="I19" s="11" t="inlineStr"/>
      <c r="J19" s="11" t="inlineStr"/>
      <c r="K19" s="11" t="inlineStr"/>
      <c r="L19" s="11" t="inlineStr"/>
      <c r="M19" s="11" t="inlineStr"/>
    </row>
    <row r="20" ht="24" customHeight="1">
      <c r="A20" s="11" t="inlineStr"/>
      <c r="B20" s="11" t="inlineStr"/>
      <c r="C20" s="11" t="inlineStr"/>
      <c r="D20" s="11" t="inlineStr"/>
      <c r="E20" s="11" t="inlineStr"/>
      <c r="F20" s="11" t="n"/>
      <c r="G20" s="11" t="n"/>
      <c r="H20" s="11" t="inlineStr"/>
      <c r="I20" s="11" t="inlineStr"/>
      <c r="J20" s="11" t="inlineStr"/>
      <c r="K20" s="11" t="inlineStr"/>
      <c r="L20" s="11" t="inlineStr"/>
      <c r="M20" s="11" t="inlineStr"/>
    </row>
    <row r="21" ht="24" customHeight="1">
      <c r="A21" s="11" t="inlineStr"/>
      <c r="B21" s="11" t="inlineStr"/>
      <c r="C21" s="11" t="inlineStr"/>
      <c r="D21" s="11" t="inlineStr"/>
      <c r="E21" s="11" t="inlineStr"/>
      <c r="F21" s="11" t="n"/>
      <c r="G21" s="11" t="n"/>
      <c r="H21" s="11" t="inlineStr"/>
      <c r="I21" s="11" t="inlineStr"/>
      <c r="J21" s="11" t="inlineStr"/>
      <c r="K21" s="11" t="inlineStr"/>
      <c r="L21" s="11" t="inlineStr"/>
      <c r="M21" s="11" t="inlineStr"/>
    </row>
    <row r="22" ht="24" customHeight="1">
      <c r="A22" s="11" t="inlineStr"/>
      <c r="B22" s="11" t="inlineStr"/>
      <c r="C22" s="11" t="inlineStr"/>
      <c r="D22" s="11" t="inlineStr"/>
      <c r="E22" s="11" t="inlineStr"/>
      <c r="F22" s="11" t="n"/>
      <c r="G22" s="11" t="n"/>
      <c r="H22" s="11" t="inlineStr"/>
      <c r="I22" s="11" t="inlineStr"/>
      <c r="J22" s="11" t="inlineStr"/>
      <c r="K22" s="11" t="inlineStr"/>
      <c r="L22" s="11" t="inlineStr"/>
      <c r="M22" s="11" t="inlineStr"/>
    </row>
    <row r="23" ht="24" customHeight="1">
      <c r="A23" s="11" t="inlineStr"/>
      <c r="B23" s="11" t="inlineStr"/>
      <c r="C23" s="11" t="inlineStr"/>
      <c r="D23" s="11" t="inlineStr"/>
      <c r="E23" s="11" t="inlineStr"/>
      <c r="F23" s="11" t="n"/>
      <c r="G23" s="11" t="n"/>
      <c r="H23" s="11" t="inlineStr"/>
      <c r="I23" s="11" t="inlineStr"/>
      <c r="J23" s="11" t="inlineStr"/>
      <c r="K23" s="11" t="inlineStr"/>
      <c r="L23" s="11" t="inlineStr"/>
      <c r="M23" s="11" t="inlineStr"/>
    </row>
    <row r="24" ht="24" customHeight="1">
      <c r="A24" s="11" t="inlineStr"/>
      <c r="B24" s="11" t="inlineStr"/>
      <c r="C24" s="11" t="inlineStr"/>
      <c r="D24" s="11" t="inlineStr"/>
      <c r="E24" s="11" t="inlineStr"/>
      <c r="F24" s="11" t="n"/>
      <c r="G24" s="11" t="n"/>
      <c r="H24" s="11" t="inlineStr"/>
      <c r="I24" s="11" t="inlineStr"/>
      <c r="J24" s="11" t="inlineStr"/>
      <c r="K24" s="11" t="inlineStr"/>
      <c r="L24" s="11" t="inlineStr"/>
      <c r="M24" s="11" t="inlineStr"/>
    </row>
    <row r="25" ht="24" customHeight="1">
      <c r="A25" s="11" t="inlineStr"/>
      <c r="B25" s="11" t="inlineStr"/>
      <c r="C25" s="11" t="inlineStr"/>
      <c r="D25" s="11" t="inlineStr"/>
      <c r="E25" s="11" t="inlineStr"/>
      <c r="F25" s="11" t="n"/>
      <c r="G25" s="11" t="n"/>
      <c r="H25" s="11" t="inlineStr"/>
      <c r="I25" s="11" t="inlineStr"/>
      <c r="J25" s="11" t="inlineStr"/>
      <c r="K25" s="11" t="inlineStr"/>
      <c r="L25" s="11" t="inlineStr"/>
      <c r="M25" s="11" t="inlineStr"/>
    </row>
    <row r="26" ht="24" customHeight="1">
      <c r="A26" s="11" t="inlineStr"/>
      <c r="B26" s="11" t="inlineStr"/>
      <c r="C26" s="11" t="inlineStr"/>
      <c r="D26" s="11" t="inlineStr"/>
      <c r="E26" s="11" t="inlineStr"/>
      <c r="F26" s="11" t="n"/>
      <c r="G26" s="11" t="n"/>
      <c r="H26" s="11" t="inlineStr"/>
      <c r="I26" s="11" t="inlineStr"/>
      <c r="J26" s="11" t="inlineStr"/>
      <c r="K26" s="11" t="inlineStr"/>
      <c r="L26" s="11" t="inlineStr"/>
      <c r="M26" s="11" t="inlineStr"/>
    </row>
    <row r="27" ht="24" customHeight="1">
      <c r="A27" s="11" t="inlineStr"/>
      <c r="B27" s="11" t="inlineStr"/>
      <c r="C27" s="11" t="inlineStr"/>
      <c r="D27" s="11" t="inlineStr"/>
      <c r="E27" s="11" t="inlineStr"/>
      <c r="F27" s="11" t="n"/>
      <c r="G27" s="11" t="n"/>
      <c r="H27" s="11" t="inlineStr"/>
      <c r="I27" s="11" t="inlineStr"/>
      <c r="J27" s="11" t="inlineStr"/>
      <c r="K27" s="11" t="inlineStr"/>
      <c r="L27" s="11" t="inlineStr"/>
      <c r="M27" s="11" t="inlineStr"/>
    </row>
    <row r="28" ht="24" customHeight="1">
      <c r="A28" s="11" t="inlineStr"/>
      <c r="B28" s="11" t="inlineStr"/>
      <c r="C28" s="11" t="inlineStr"/>
      <c r="D28" s="11" t="inlineStr"/>
      <c r="E28" s="11" t="inlineStr"/>
      <c r="F28" s="11" t="n"/>
      <c r="G28" s="11" t="n"/>
      <c r="H28" s="11" t="inlineStr"/>
      <c r="I28" s="11" t="inlineStr"/>
      <c r="J28" s="11" t="inlineStr"/>
      <c r="K28" s="11" t="inlineStr"/>
      <c r="L28" s="11" t="inlineStr"/>
      <c r="M28" s="11" t="inlineStr"/>
    </row>
    <row r="29" ht="24" customHeight="1">
      <c r="A29" s="11" t="inlineStr"/>
      <c r="B29" s="11" t="inlineStr"/>
      <c r="C29" s="11" t="inlineStr"/>
      <c r="D29" s="11" t="inlineStr"/>
      <c r="E29" s="11" t="inlineStr"/>
      <c r="F29" s="11" t="n"/>
      <c r="G29" s="11" t="n"/>
      <c r="H29" s="11" t="inlineStr"/>
      <c r="I29" s="11" t="inlineStr"/>
      <c r="J29" s="11" t="inlineStr"/>
      <c r="K29" s="11" t="inlineStr"/>
      <c r="L29" s="11" t="inlineStr"/>
      <c r="M29" s="11" t="inlineStr"/>
    </row>
    <row r="30" ht="24" customHeight="1">
      <c r="A30" s="11" t="inlineStr"/>
      <c r="B30" s="11" t="inlineStr"/>
      <c r="C30" s="11" t="inlineStr"/>
      <c r="D30" s="11" t="inlineStr"/>
      <c r="E30" s="11" t="inlineStr"/>
      <c r="F30" s="11" t="n"/>
      <c r="G30" s="11" t="n"/>
      <c r="H30" s="11" t="inlineStr"/>
      <c r="I30" s="11" t="inlineStr"/>
      <c r="J30" s="11" t="inlineStr"/>
      <c r="K30" s="11" t="inlineStr"/>
      <c r="L30" s="11" t="inlineStr"/>
      <c r="M30" s="11" t="inlineStr"/>
    </row>
    <row r="31" ht="24" customHeight="1">
      <c r="A31" s="11" t="inlineStr"/>
      <c r="B31" s="11" t="inlineStr"/>
      <c r="C31" s="11" t="inlineStr"/>
      <c r="D31" s="11" t="inlineStr"/>
      <c r="E31" s="11" t="inlineStr"/>
      <c r="F31" s="11" t="n"/>
      <c r="G31" s="11" t="n"/>
      <c r="H31" s="11" t="inlineStr"/>
      <c r="I31" s="11" t="inlineStr"/>
      <c r="J31" s="11" t="inlineStr"/>
      <c r="K31" s="11" t="inlineStr"/>
      <c r="L31" s="11" t="inlineStr"/>
      <c r="M31" s="11" t="inlineStr"/>
    </row>
    <row r="32" ht="24" customHeight="1">
      <c r="A32" s="11" t="inlineStr"/>
      <c r="B32" s="11" t="inlineStr"/>
      <c r="C32" s="11" t="inlineStr"/>
      <c r="D32" s="11" t="inlineStr"/>
      <c r="E32" s="11" t="inlineStr"/>
      <c r="F32" s="11" t="n"/>
      <c r="G32" s="11" t="n"/>
      <c r="H32" s="11" t="inlineStr"/>
      <c r="I32" s="11" t="inlineStr"/>
      <c r="J32" s="11" t="inlineStr"/>
      <c r="K32" s="11" t="inlineStr"/>
      <c r="L32" s="11" t="inlineStr"/>
      <c r="M32" s="11" t="inlineStr"/>
    </row>
  </sheetData>
  <mergeCells count="2">
    <mergeCell ref="A2:M2"/>
    <mergeCell ref="A1:M1"/>
  </mergeCells>
  <conditionalFormatting sqref="G5:G200">
    <cfRule type="expression" priority="1" dxfId="1">
      <formula>$G5="Fulfilled"</formula>
    </cfRule>
    <cfRule type="expression" priority="2" dxfId="0">
      <formula>$G5="Open"</formula>
    </cfRule>
    <cfRule type="expression" priority="3" dxfId="2">
      <formula>$G5="In progress"</formula>
    </cfRule>
  </conditionalFormatting>
  <conditionalFormatting sqref="F5:F200">
    <cfRule type="expression" priority="4" dxfId="0">
      <formula>OR($F5="Critical",$F5="High")</formula>
    </cfRule>
  </conditionalFormatting>
  <dataValidations count="3">
    <dataValidation sqref="F5:F200" showDropDown="0" showInputMessage="0" showErrorMessage="0" allowBlank="1" type="list">
      <formula1>"Critical,High,Medium,Low"</formula1>
    </dataValidation>
    <dataValidation sqref="G5:G200" showDropDown="0" showInputMessage="0" showErrorMessage="0" allowBlank="1" type="list">
      <formula1>"Not verified,Open,In progress,Fulfilled,Not required"</formula1>
    </dataValidation>
    <dataValidation sqref="K5:K200" showDropDown="0" showInputMessage="0" showErrorMessage="0" allowBlank="1" type="list">
      <formula1>"Security,Reliability,Operational Excellence,Cost Optimization,Performance Efficiency,CAF,ALZ,AI,Migration"</formula1>
    </dataValidation>
  </dataValidations>
  <hyperlinks>
    <hyperlink xmlns:r="http://schemas.openxmlformats.org/officeDocument/2006/relationships" ref="I5" r:id="rId1"/>
    <hyperlink xmlns:r="http://schemas.openxmlformats.org/officeDocument/2006/relationships" ref="J5" r:id="rId2"/>
    <hyperlink xmlns:r="http://schemas.openxmlformats.org/officeDocument/2006/relationships" ref="I6" r:id="rId3"/>
    <hyperlink xmlns:r="http://schemas.openxmlformats.org/officeDocument/2006/relationships" ref="J6" r:id="rId4"/>
    <hyperlink xmlns:r="http://schemas.openxmlformats.org/officeDocument/2006/relationships" ref="I7" r:id="rId5"/>
    <hyperlink xmlns:r="http://schemas.openxmlformats.org/officeDocument/2006/relationships" ref="J7" r:id="rId6"/>
    <hyperlink xmlns:r="http://schemas.openxmlformats.org/officeDocument/2006/relationships" ref="I8" r:id="rId7"/>
    <hyperlink xmlns:r="http://schemas.openxmlformats.org/officeDocument/2006/relationships" ref="J8" r:id="rId8"/>
    <hyperlink xmlns:r="http://schemas.openxmlformats.org/officeDocument/2006/relationships" ref="I9" r:id="rId9"/>
    <hyperlink xmlns:r="http://schemas.openxmlformats.org/officeDocument/2006/relationships" ref="J9" r:id="rId10"/>
    <hyperlink xmlns:r="http://schemas.openxmlformats.org/officeDocument/2006/relationships" ref="I10" r:id="rId11"/>
    <hyperlink xmlns:r="http://schemas.openxmlformats.org/officeDocument/2006/relationships" ref="J10" r:id="rId12"/>
    <hyperlink xmlns:r="http://schemas.openxmlformats.org/officeDocument/2006/relationships" ref="I11" r:id="rId13"/>
    <hyperlink xmlns:r="http://schemas.openxmlformats.org/officeDocument/2006/relationships" ref="J11" r:id="rId14"/>
    <hyperlink xmlns:r="http://schemas.openxmlformats.org/officeDocument/2006/relationships" ref="I12" r:id="rId15"/>
    <hyperlink xmlns:r="http://schemas.openxmlformats.org/officeDocument/2006/relationships" ref="J12" r:id="rId16"/>
    <hyperlink xmlns:r="http://schemas.openxmlformats.org/officeDocument/2006/relationships" ref="I13" r:id="rId17"/>
    <hyperlink xmlns:r="http://schemas.openxmlformats.org/officeDocument/2006/relationships" ref="J13" r:id="rId18"/>
    <hyperlink xmlns:r="http://schemas.openxmlformats.org/officeDocument/2006/relationships" ref="I14" r:id="rId19"/>
    <hyperlink xmlns:r="http://schemas.openxmlformats.org/officeDocument/2006/relationships" ref="J14" r:id="rId20"/>
    <hyperlink xmlns:r="http://schemas.openxmlformats.org/officeDocument/2006/relationships" ref="I15" r:id="rId21"/>
    <hyperlink xmlns:r="http://schemas.openxmlformats.org/officeDocument/2006/relationships" ref="J15" r:id="rId22"/>
    <hyperlink xmlns:r="http://schemas.openxmlformats.org/officeDocument/2006/relationships" ref="I16" r:id="rId23"/>
    <hyperlink xmlns:r="http://schemas.openxmlformats.org/officeDocument/2006/relationships" ref="J16" r:id="rId24"/>
    <hyperlink xmlns:r="http://schemas.openxmlformats.org/officeDocument/2006/relationships" ref="I17" r:id="rId25"/>
    <hyperlink xmlns:r="http://schemas.openxmlformats.org/officeDocument/2006/relationships" ref="J17" r:id="rId26"/>
  </hyperlinks>
  <pageMargins left="0.25" right="0.25" top="0.5" bottom="0.5" header="0.5" footer="0.5"/>
  <pageSetup fitToHeight="0" fitToWidth="1"/>
  <tableParts count="1">
    <tablePart xmlns:r="http://schemas.openxmlformats.org/officeDocument/2006/relationships" r:id="rId27"/>
  </tableParts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4" customWidth="1" min="2" max="2"/>
    <col width="48" customWidth="1" min="3" max="3"/>
    <col width="16" customWidth="1" min="4" max="4"/>
    <col width="34" customWidth="1" min="5" max="5"/>
    <col width="22" customWidth="1" min="6" max="6"/>
    <col width="30" customWidth="1" min="7" max="7"/>
    <col width="44" customWidth="1" min="8" max="8"/>
  </cols>
  <sheetData>
    <row r="1" ht="24" customHeight="1">
      <c r="A1" s="10" t="inlineStr">
        <is>
          <t>Review area</t>
        </is>
      </c>
      <c r="B1" s="10" t="inlineStr">
        <is>
          <t>What CARI tests</t>
        </is>
      </c>
      <c r="C1" s="10" t="inlineStr">
        <is>
          <t>Required evidence</t>
        </is>
      </c>
      <c r="D1" s="10" t="inlineStr">
        <is>
          <t>Status</t>
        </is>
      </c>
      <c r="E1" s="10" t="inlineStr">
        <is>
          <t>Evidence location</t>
        </is>
      </c>
      <c r="F1" s="10" t="inlineStr">
        <is>
          <t>Owner</t>
        </is>
      </c>
      <c r="G1" s="10" t="inlineStr">
        <is>
          <t>Reference</t>
        </is>
      </c>
      <c r="H1" s="10" t="inlineStr">
        <is>
          <t>Scoring note</t>
        </is>
      </c>
    </row>
    <row r="2" ht="24" customHeight="1">
      <c r="A2" s="11" t="inlineStr">
        <is>
          <t>Security</t>
        </is>
      </c>
      <c r="B2" s="11" t="inlineStr">
        <is>
          <t>Identity, RBAC, PIM, managed identity, Key Vault, encryption, network isolation, Defender.</t>
        </is>
      </c>
      <c r="C2" s="11" t="inlineStr">
        <is>
          <t>Identity design, access matrix, secrets model, threat controls, private access design.</t>
        </is>
      </c>
      <c r="D2" s="11" t="inlineStr">
        <is>
          <t>Not verified</t>
        </is>
      </c>
      <c r="E2" s="11" t="inlineStr"/>
      <c r="F2" s="11" t="inlineStr"/>
      <c r="G2" s="12" t="inlineStr">
        <is>
          <t>WAF Security; CAF Secure</t>
        </is>
      </c>
      <c r="H2" s="11" t="inlineStr">
        <is>
          <t>A missing identity or secrets model can block approval.</t>
        </is>
      </c>
    </row>
    <row r="3" ht="24" customHeight="1">
      <c r="A3" s="11" t="inlineStr">
        <is>
          <t>Reliability</t>
        </is>
      </c>
      <c r="B3" s="11" t="inlineStr">
        <is>
          <t>Availability zones, backup, DR, RTO/RPO, health probes, retries, failover.</t>
        </is>
      </c>
      <c r="C3" s="11" t="inlineStr">
        <is>
          <t>HA/DR design, backup policy, failover runbook, resilience test evidence.</t>
        </is>
      </c>
      <c r="D3" s="11" t="inlineStr">
        <is>
          <t>Not verified</t>
        </is>
      </c>
      <c r="E3" s="11" t="inlineStr"/>
      <c r="F3" s="11" t="inlineStr"/>
      <c r="G3" s="11" t="inlineStr">
        <is>
          <t>WAF Reliability</t>
        </is>
      </c>
      <c r="H3" s="11" t="inlineStr">
        <is>
          <t>Tier-1 production workloads need explicit recovery evidence.</t>
        </is>
      </c>
    </row>
    <row r="4" ht="24" customHeight="1">
      <c r="A4" s="11" t="inlineStr">
        <is>
          <t>Operations</t>
        </is>
      </c>
      <c r="B4" s="11" t="inlineStr">
        <is>
          <t>IaC, CI/CD, monitoring, alerting, runbooks, tagging, support model.</t>
        </is>
      </c>
      <c r="C4" s="11" t="inlineStr">
        <is>
          <t>Bicep/Terraform, pipeline diagram, Log Analytics design, alert matrix, runbooks.</t>
        </is>
      </c>
      <c r="D4" s="11" t="inlineStr">
        <is>
          <t>Not verified</t>
        </is>
      </c>
      <c r="E4" s="11" t="inlineStr"/>
      <c r="F4" s="11" t="inlineStr"/>
      <c r="G4" s="12" t="inlineStr">
        <is>
          <t>WAF Operations; CAF Manage</t>
        </is>
      </c>
      <c r="H4" s="11" t="inlineStr">
        <is>
          <t>No runbook or alert matrix usually caps operational score.</t>
        </is>
      </c>
    </row>
    <row r="5" ht="24" customHeight="1">
      <c r="A5" s="11" t="inlineStr">
        <is>
          <t>Cost</t>
        </is>
      </c>
      <c r="B5" s="11" t="inlineStr">
        <is>
          <t>SKU rationale, right-sizing, autoscale, reservations, budgets, unit economics.</t>
        </is>
      </c>
      <c r="C5" s="11" t="inlineStr">
        <is>
          <t>Azure pricing estimate, capacity model, cost assumptions, budget/alert plan.</t>
        </is>
      </c>
      <c r="D5" s="11" t="inlineStr">
        <is>
          <t>Not verified</t>
        </is>
      </c>
      <c r="E5" s="11" t="inlineStr"/>
      <c r="F5" s="11" t="inlineStr"/>
      <c r="G5" s="11" t="inlineStr">
        <is>
          <t>WAF Cost</t>
        </is>
      </c>
      <c r="H5" s="11" t="inlineStr">
        <is>
          <t>Cost estimate without assumptions is not enough for full credit.</t>
        </is>
      </c>
    </row>
    <row r="6" ht="24" customHeight="1">
      <c r="A6" s="11" t="inlineStr">
        <is>
          <t>Performance</t>
        </is>
      </c>
      <c r="B6" s="11" t="inlineStr">
        <is>
          <t>Scale targets, load profile, caching, async patterns, SKU capacity, load testing.</t>
        </is>
      </c>
      <c r="C6" s="11" t="inlineStr">
        <is>
          <t>NFR table, load test results, capacity plan, performance risks and limits.</t>
        </is>
      </c>
      <c r="D6" s="11" t="inlineStr">
        <is>
          <t>Not verified</t>
        </is>
      </c>
      <c r="E6" s="11" t="inlineStr"/>
      <c r="F6" s="11" t="inlineStr"/>
      <c r="G6" s="11" t="inlineStr">
        <is>
          <t>WAF Performance</t>
        </is>
      </c>
      <c r="H6" s="11" t="inlineStr">
        <is>
          <t>Performance cannot be scored high without target and validation evidence.</t>
        </is>
      </c>
    </row>
    <row r="7" ht="24" customHeight="1">
      <c r="A7" s="11" t="inlineStr">
        <is>
          <t>CAF / ALZ Governance</t>
        </is>
      </c>
      <c r="B7" s="11" t="inlineStr">
        <is>
          <t>Management groups, subscriptions, Azure Policy, RBAC, hub-spoke/VWAN, central logging.</t>
        </is>
      </c>
      <c r="C7" s="11" t="inlineStr">
        <is>
          <t>ALZ diagram, subscription model, policy assignment list, network topology.</t>
        </is>
      </c>
      <c r="D7" s="11" t="inlineStr">
        <is>
          <t>Not verified</t>
        </is>
      </c>
      <c r="E7" s="11" t="inlineStr"/>
      <c r="F7" s="11" t="inlineStr"/>
      <c r="G7" s="12" t="inlineStr">
        <is>
          <t>CAF Ready; ALZ</t>
        </is>
      </c>
      <c r="H7" s="11" t="inlineStr">
        <is>
          <t>ALZ evidence should prove platform foundation, not just describe it.</t>
        </is>
      </c>
    </row>
    <row r="8" ht="24" customHeight="1">
      <c r="A8" s="11" t="inlineStr">
        <is>
          <t>AI Landing Zone</t>
        </is>
      </c>
      <c r="B8" s="11" t="inlineStr">
        <is>
          <t>AI architecture, Foundry baseline, RAG, agents, responsible AI, content safety, private access.</t>
        </is>
      </c>
      <c r="C8" s="11" t="inlineStr">
        <is>
          <t>AI architecture diagram, model inventory, grounding sources, evaluation plan, safety controls.</t>
        </is>
      </c>
      <c r="D8" s="11" t="inlineStr">
        <is>
          <t>Not required</t>
        </is>
      </c>
      <c r="E8" s="11" t="inlineStr"/>
      <c r="F8" s="11" t="inlineStr"/>
      <c r="G8" s="11" t="inlineStr">
        <is>
          <t>CAF AI; WAF AI</t>
        </is>
      </c>
      <c r="H8" s="11" t="inlineStr">
        <is>
          <t>Use only when AI workloads or model endpoints are in scope.</t>
        </is>
      </c>
    </row>
    <row r="9" ht="24" customHeight="1">
      <c r="A9" s="11" t="inlineStr">
        <is>
          <t>Migration Readiness</t>
        </is>
      </c>
      <c r="B9" s="11" t="inlineStr">
        <is>
          <t>Estate assessment, migration method, wave plan, cutover, rollback, validation, hypercare.</t>
        </is>
      </c>
      <c r="C9" s="11" t="inlineStr">
        <is>
          <t>Azure Migrate assessment, migration runbook, dependency map, rollback plan, validation checklist.</t>
        </is>
      </c>
      <c r="D9" s="11" t="inlineStr">
        <is>
          <t>Not required</t>
        </is>
      </c>
      <c r="E9" s="11" t="inlineStr"/>
      <c r="F9" s="11" t="inlineStr"/>
      <c r="G9" s="11" t="inlineStr">
        <is>
          <t>CAF Migrate</t>
        </is>
      </c>
      <c r="H9" s="11" t="inlineStr">
        <is>
          <t>Use only when migration or cutover is in scope.</t>
        </is>
      </c>
    </row>
  </sheetData>
  <conditionalFormatting sqref="D2:D100">
    <cfRule type="expression" priority="1" dxfId="1">
      <formula>$D2="Fulfilled"</formula>
    </cfRule>
    <cfRule type="expression" priority="2" dxfId="0">
      <formula>$D2="Open"</formula>
    </cfRule>
  </conditionalFormatting>
  <dataValidations count="1">
    <dataValidation sqref="D2:D100" showDropDown="0" showInputMessage="0" showErrorMessage="0" allowBlank="1" type="list">
      <formula1>"Not verified,Open,In progress,Fulfilled,Not required"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G4" r:id="rId2"/>
    <hyperlink xmlns:r="http://schemas.openxmlformats.org/officeDocument/2006/relationships" ref="G7" r:id="rId3"/>
  </hyperlinks>
  <pageMargins left="0.25" right="0.25" top="0.5" bottom="0.5" header="0.5" footer="0.5"/>
  <pageSetup fitToHeight="0" fitToWidth="1"/>
  <tableParts count="1">
    <tablePart xmlns:r="http://schemas.openxmlformats.org/officeDocument/2006/relationships" r:id="rId4"/>
  </tableParts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D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62" customWidth="1" min="2" max="2"/>
    <col width="42" customWidth="1" min="3" max="3"/>
    <col width="22" customWidth="1" min="4" max="4"/>
  </cols>
  <sheetData>
    <row r="1" ht="24" customHeight="1">
      <c r="A1" s="10" t="inlineStr">
        <is>
          <t>Design document section</t>
        </is>
      </c>
      <c r="B1" s="10" t="inlineStr">
        <is>
          <t>What to include</t>
        </is>
      </c>
      <c r="C1" s="10" t="inlineStr">
        <is>
          <t>Evidence to attach</t>
        </is>
      </c>
      <c r="D1" s="10" t="inlineStr">
        <is>
          <t>Applicability</t>
        </is>
      </c>
    </row>
    <row r="2" ht="24" customHeight="1">
      <c r="A2" s="11" t="inlineStr">
        <is>
          <t>Executive Summary</t>
        </is>
      </c>
      <c r="B2" s="11" t="inlineStr">
        <is>
          <t>Business objective, decision requested, scope, risks, target date</t>
        </is>
      </c>
      <c r="C2" s="11" t="inlineStr">
        <is>
          <t>Project Summary</t>
        </is>
      </c>
      <c r="D2" s="11" t="inlineStr">
        <is>
          <t>Required</t>
        </is>
      </c>
    </row>
    <row r="3" ht="24" customHeight="1">
      <c r="A3" s="11" t="inlineStr">
        <is>
          <t>Architecture Overview</t>
        </is>
      </c>
      <c r="B3" s="11" t="inlineStr">
        <is>
          <t>Diagram, services, data flows, trust boundaries, environments</t>
        </is>
      </c>
      <c r="C3" s="11" t="inlineStr">
        <is>
          <t>Architecture diagram + service inventory</t>
        </is>
      </c>
      <c r="D3" s="11" t="inlineStr">
        <is>
          <t>Required</t>
        </is>
      </c>
    </row>
    <row r="4" ht="24" customHeight="1">
      <c r="A4" s="11" t="inlineStr">
        <is>
          <t>Security and Identity</t>
        </is>
      </c>
      <c r="B4" s="11" t="inlineStr">
        <is>
          <t>Entra ID, RBAC, PIM, Key Vault, encryption, Defender</t>
        </is>
      </c>
      <c r="C4" s="11" t="inlineStr">
        <is>
          <t>Security evidence</t>
        </is>
      </c>
      <c r="D4" s="11" t="inlineStr">
        <is>
          <t>Required</t>
        </is>
      </c>
    </row>
    <row r="5" ht="24" customHeight="1">
      <c r="A5" s="11" t="inlineStr">
        <is>
          <t>Network and Perimeter</t>
        </is>
      </c>
      <c r="B5" s="11" t="inlineStr">
        <is>
          <t>Hub-spoke/VWAN, subnets, firewall, WAF/APIM, private endpoints, DNS</t>
        </is>
      </c>
      <c r="C5" s="11" t="inlineStr">
        <is>
          <t>Network evidence</t>
        </is>
      </c>
      <c r="D5" s="11" t="inlineStr">
        <is>
          <t>Required</t>
        </is>
      </c>
    </row>
    <row r="6" ht="24" customHeight="1">
      <c r="A6" s="11" t="inlineStr">
        <is>
          <t>Reliability and DR</t>
        </is>
      </c>
      <c r="B6" s="11" t="inlineStr">
        <is>
          <t>AZs, backup, RTO/RPO, failover, restore tests</t>
        </is>
      </c>
      <c r="C6" s="11" t="inlineStr">
        <is>
          <t>Reliability evidence</t>
        </is>
      </c>
      <c r="D6" s="11" t="inlineStr">
        <is>
          <t>Required</t>
        </is>
      </c>
    </row>
    <row r="7" ht="24" customHeight="1">
      <c r="A7" s="11" t="inlineStr">
        <is>
          <t>Operations</t>
        </is>
      </c>
      <c r="B7" s="11" t="inlineStr">
        <is>
          <t>IaC, CI/CD, monitoring, alerts, runbooks, RACI</t>
        </is>
      </c>
      <c r="C7" s="11" t="inlineStr">
        <is>
          <t>Operations evidence</t>
        </is>
      </c>
      <c r="D7" s="11" t="inlineStr">
        <is>
          <t>Required</t>
        </is>
      </c>
    </row>
    <row r="8" ht="24" customHeight="1">
      <c r="A8" s="11" t="inlineStr">
        <is>
          <t>Cost</t>
        </is>
      </c>
      <c r="B8" s="11" t="inlineStr">
        <is>
          <t>Pricing estimate, SKU rationale, budgets, savings assumptions</t>
        </is>
      </c>
      <c r="C8" s="11" t="inlineStr">
        <is>
          <t>Cost evidence</t>
        </is>
      </c>
      <c r="D8" s="11" t="inlineStr">
        <is>
          <t>Required</t>
        </is>
      </c>
    </row>
    <row r="9" ht="24" customHeight="1">
      <c r="A9" s="11" t="inlineStr">
        <is>
          <t>Performance</t>
        </is>
      </c>
      <c r="B9" s="11" t="inlineStr">
        <is>
          <t>NFRs, load model, scale limits, load tests</t>
        </is>
      </c>
      <c r="C9" s="11" t="inlineStr">
        <is>
          <t>Performance evidence</t>
        </is>
      </c>
      <c r="D9" s="11" t="inlineStr">
        <is>
          <t>Required</t>
        </is>
      </c>
    </row>
    <row r="10" ht="24" customHeight="1">
      <c r="A10" s="11" t="inlineStr">
        <is>
          <t>CAF / ALZ</t>
        </is>
      </c>
      <c r="B10" s="11" t="inlineStr">
        <is>
          <t>Management groups, subscriptions, policies, central logging, vending</t>
        </is>
      </c>
      <c r="C10" s="11" t="inlineStr">
        <is>
          <t>ALZ evidence</t>
        </is>
      </c>
      <c r="D10" s="11" t="inlineStr">
        <is>
          <t>Required for platform scope</t>
        </is>
      </c>
    </row>
    <row r="11" ht="24" customHeight="1">
      <c r="A11" s="11" t="inlineStr">
        <is>
          <t>AI</t>
        </is>
      </c>
      <c r="B11" s="11" t="inlineStr">
        <is>
          <t>Model design, RAG, safety, private networking, evaluations</t>
        </is>
      </c>
      <c r="C11" s="11" t="inlineStr">
        <is>
          <t>AI evidence</t>
        </is>
      </c>
      <c r="D11" s="11" t="inlineStr">
        <is>
          <t>If applicable</t>
        </is>
      </c>
    </row>
    <row r="12" ht="24" customHeight="1">
      <c r="A12" s="11" t="inlineStr">
        <is>
          <t>Migration</t>
        </is>
      </c>
      <c r="B12" s="11" t="inlineStr">
        <is>
          <t>Assessment, wave plan, cutover, rollback, validation</t>
        </is>
      </c>
      <c r="C12" s="11" t="inlineStr">
        <is>
          <t>Migration runbook</t>
        </is>
      </c>
      <c r="D12" s="11" t="inlineStr">
        <is>
          <t>If applicable</t>
        </is>
      </c>
    </row>
  </sheetData>
  <pageMargins left="0.25" right="0.25" top="0.5" bottom="0.5" header="0.5" footer="0.5"/>
  <pageSetup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48" customWidth="1" min="2" max="2"/>
    <col width="44" customWidth="1" min="3" max="3"/>
    <col width="24" customWidth="1" min="4" max="4"/>
  </cols>
  <sheetData>
    <row r="1" ht="24" customHeight="1">
      <c r="A1" s="10" t="inlineStr">
        <is>
          <t>Field</t>
        </is>
      </c>
      <c r="B1" s="10" t="inlineStr">
        <is>
          <t>Response</t>
        </is>
      </c>
      <c r="C1" s="10" t="inlineStr">
        <is>
          <t>Evidence / attachment</t>
        </is>
      </c>
      <c r="D1" s="10" t="inlineStr">
        <is>
          <t>Owner</t>
        </is>
      </c>
    </row>
    <row r="2" ht="24" customHeight="1">
      <c r="A2" s="11" t="inlineStr">
        <is>
          <t>Project name</t>
        </is>
      </c>
      <c r="B2" s="11" t="inlineStr"/>
      <c r="C2" s="11" t="inlineStr"/>
      <c r="D2" s="11" t="inlineStr"/>
    </row>
    <row r="3" ht="24" customHeight="1">
      <c r="A3" s="11" t="inlineStr">
        <is>
          <t>Customer / business unit</t>
        </is>
      </c>
      <c r="B3" s="11" t="inlineStr"/>
      <c r="C3" s="11" t="inlineStr"/>
      <c r="D3" s="11" t="inlineStr"/>
    </row>
    <row r="4" ht="24" customHeight="1">
      <c r="A4" s="11" t="inlineStr">
        <is>
          <t>Workload tier and criticality</t>
        </is>
      </c>
      <c r="B4" s="11" t="inlineStr"/>
      <c r="C4" s="11" t="inlineStr"/>
      <c r="D4" s="11" t="inlineStr"/>
    </row>
    <row r="5" ht="24" customHeight="1">
      <c r="A5" s="11" t="inlineStr">
        <is>
          <t>Target Azure regions</t>
        </is>
      </c>
      <c r="B5" s="11" t="inlineStr"/>
      <c r="C5" s="11" t="inlineStr"/>
      <c r="D5" s="11" t="inlineStr"/>
    </row>
    <row r="6" ht="24" customHeight="1">
      <c r="A6" s="11" t="inlineStr">
        <is>
          <t>Production date</t>
        </is>
      </c>
      <c r="B6" s="11" t="inlineStr"/>
      <c r="C6" s="11" t="inlineStr"/>
      <c r="D6" s="11" t="inlineStr"/>
    </row>
    <row r="7" ht="24" customHeight="1">
      <c r="A7" s="11" t="inlineStr">
        <is>
          <t>Decision requested from ARB</t>
        </is>
      </c>
      <c r="B7" s="11" t="inlineStr"/>
      <c r="C7" s="11" t="inlineStr"/>
      <c r="D7" s="11" t="inlineStr"/>
    </row>
    <row r="8" ht="24" customHeight="1">
      <c r="A8" s="11" t="inlineStr">
        <is>
          <t>Known risks, exceptions, or waivers</t>
        </is>
      </c>
      <c r="B8" s="11" t="inlineStr"/>
      <c r="C8" s="11" t="inlineStr"/>
      <c r="D8" s="11" t="inlineStr"/>
    </row>
    <row r="9" ht="24" customHeight="1">
      <c r="A9" s="11" t="inlineStr">
        <is>
          <t>Migration / modernization approach</t>
        </is>
      </c>
      <c r="B9" s="11" t="inlineStr"/>
      <c r="C9" s="11" t="inlineStr"/>
      <c r="D9" s="11" t="inlineStr"/>
    </row>
    <row r="10" ht="24" customHeight="1">
      <c r="A10" s="11" t="inlineStr">
        <is>
          <t>Cutover and rollback summary</t>
        </is>
      </c>
      <c r="B10" s="11" t="inlineStr"/>
      <c r="C10" s="11" t="inlineStr"/>
      <c r="D10" s="11" t="inlineStr"/>
    </row>
  </sheetData>
  <pageMargins left="0.25" right="0.25" top="0.5" bottom="0.5" header="0.5" footer="0.5"/>
  <pageSetup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8" customWidth="1" min="3" max="3"/>
    <col width="18" customWidth="1" min="4" max="4"/>
    <col width="20" customWidth="1" min="5" max="5"/>
    <col width="22" customWidth="1" min="6" max="6"/>
    <col width="20" customWidth="1" min="7" max="7"/>
    <col width="46" customWidth="1" min="8" max="8"/>
  </cols>
  <sheetData>
    <row r="1" ht="24" customHeight="1">
      <c r="A1" s="10" t="inlineStr">
        <is>
          <t>Service</t>
        </is>
      </c>
      <c r="B1" s="10" t="inlineStr">
        <is>
          <t>Purpose</t>
        </is>
      </c>
      <c r="C1" s="10" t="inlineStr">
        <is>
          <t>Region</t>
        </is>
      </c>
      <c r="D1" s="10" t="inlineStr">
        <is>
          <t>SKU / tier</t>
        </is>
      </c>
      <c r="E1" s="10" t="inlineStr">
        <is>
          <t>HA setting</t>
        </is>
      </c>
      <c r="F1" s="10" t="inlineStr">
        <is>
          <t>Data classification</t>
        </is>
      </c>
      <c r="G1" s="10" t="inlineStr">
        <is>
          <t>Owner</t>
        </is>
      </c>
      <c r="H1" s="10" t="inlineStr">
        <is>
          <t>Microsoft Learn reference</t>
        </is>
      </c>
    </row>
    <row r="2" ht="24" customHeight="1">
      <c r="A2" s="11" t="inlineStr"/>
      <c r="B2" s="11" t="inlineStr"/>
      <c r="C2" s="11" t="inlineStr"/>
      <c r="D2" s="11" t="inlineStr"/>
      <c r="E2" s="11" t="inlineStr"/>
      <c r="F2" s="11" t="inlineStr"/>
      <c r="G2" s="11" t="inlineStr"/>
      <c r="H2" s="11" t="inlineStr"/>
    </row>
    <row r="3" ht="24" customHeight="1">
      <c r="A3" s="11" t="inlineStr"/>
      <c r="B3" s="11" t="inlineStr"/>
      <c r="C3" s="11" t="inlineStr"/>
      <c r="D3" s="11" t="inlineStr"/>
      <c r="E3" s="11" t="inlineStr"/>
      <c r="F3" s="11" t="inlineStr"/>
      <c r="G3" s="11" t="inlineStr"/>
      <c r="H3" s="11" t="inlineStr"/>
    </row>
    <row r="4" ht="24" customHeight="1">
      <c r="A4" s="11" t="inlineStr"/>
      <c r="B4" s="11" t="inlineStr"/>
      <c r="C4" s="11" t="inlineStr"/>
      <c r="D4" s="11" t="inlineStr"/>
      <c r="E4" s="11" t="inlineStr"/>
      <c r="F4" s="11" t="inlineStr"/>
      <c r="G4" s="11" t="inlineStr"/>
      <c r="H4" s="11" t="inlineStr"/>
    </row>
    <row r="5" ht="24" customHeight="1">
      <c r="A5" s="11" t="inlineStr"/>
      <c r="B5" s="11" t="inlineStr"/>
      <c r="C5" s="11" t="inlineStr"/>
      <c r="D5" s="11" t="inlineStr"/>
      <c r="E5" s="11" t="inlineStr"/>
      <c r="F5" s="11" t="inlineStr"/>
      <c r="G5" s="11" t="inlineStr"/>
      <c r="H5" s="11" t="inlineStr"/>
    </row>
    <row r="6" ht="24" customHeight="1">
      <c r="A6" s="11" t="inlineStr"/>
      <c r="B6" s="11" t="inlineStr"/>
      <c r="C6" s="11" t="inlineStr"/>
      <c r="D6" s="11" t="inlineStr"/>
      <c r="E6" s="11" t="inlineStr"/>
      <c r="F6" s="11" t="inlineStr"/>
      <c r="G6" s="11" t="inlineStr"/>
      <c r="H6" s="11" t="inlineStr"/>
    </row>
    <row r="7" ht="24" customHeight="1">
      <c r="A7" s="11" t="inlineStr"/>
      <c r="B7" s="11" t="inlineStr"/>
      <c r="C7" s="11" t="inlineStr"/>
      <c r="D7" s="11" t="inlineStr"/>
      <c r="E7" s="11" t="inlineStr"/>
      <c r="F7" s="11" t="inlineStr"/>
      <c r="G7" s="11" t="inlineStr"/>
      <c r="H7" s="11" t="inlineStr"/>
    </row>
    <row r="8" ht="24" customHeight="1">
      <c r="A8" s="11" t="inlineStr"/>
      <c r="B8" s="11" t="inlineStr"/>
      <c r="C8" s="11" t="inlineStr"/>
      <c r="D8" s="11" t="inlineStr"/>
      <c r="E8" s="11" t="inlineStr"/>
      <c r="F8" s="11" t="inlineStr"/>
      <c r="G8" s="11" t="inlineStr"/>
      <c r="H8" s="11" t="inlineStr"/>
    </row>
    <row r="9" ht="24" customHeight="1">
      <c r="A9" s="11" t="inlineStr"/>
      <c r="B9" s="11" t="inlineStr"/>
      <c r="C9" s="11" t="inlineStr"/>
      <c r="D9" s="11" t="inlineStr"/>
      <c r="E9" s="11" t="inlineStr"/>
      <c r="F9" s="11" t="inlineStr"/>
      <c r="G9" s="11" t="inlineStr"/>
      <c r="H9" s="11" t="inlineStr"/>
    </row>
    <row r="10" ht="24" customHeight="1">
      <c r="A10" s="11" t="inlineStr"/>
      <c r="B10" s="11" t="inlineStr"/>
      <c r="C10" s="11" t="inlineStr"/>
      <c r="D10" s="11" t="inlineStr"/>
      <c r="E10" s="11" t="inlineStr"/>
      <c r="F10" s="11" t="inlineStr"/>
      <c r="G10" s="11" t="inlineStr"/>
      <c r="H10" s="11" t="inlineStr"/>
    </row>
    <row r="11" ht="24" customHeight="1">
      <c r="A11" s="11" t="inlineStr"/>
      <c r="B11" s="11" t="inlineStr"/>
      <c r="C11" s="11" t="inlineStr"/>
      <c r="D11" s="11" t="inlineStr"/>
      <c r="E11" s="11" t="inlineStr"/>
      <c r="F11" s="11" t="inlineStr"/>
      <c r="G11" s="11" t="inlineStr"/>
      <c r="H11" s="11" t="inlineStr"/>
    </row>
    <row r="12" ht="24" customHeight="1">
      <c r="A12" s="11" t="inlineStr"/>
      <c r="B12" s="11" t="inlineStr"/>
      <c r="C12" s="11" t="inlineStr"/>
      <c r="D12" s="11" t="inlineStr"/>
      <c r="E12" s="11" t="inlineStr"/>
      <c r="F12" s="11" t="inlineStr"/>
      <c r="G12" s="11" t="inlineStr"/>
      <c r="H12" s="11" t="inlineStr"/>
    </row>
    <row r="13" ht="24" customHeight="1">
      <c r="A13" s="11" t="inlineStr"/>
      <c r="B13" s="11" t="inlineStr"/>
      <c r="C13" s="11" t="inlineStr"/>
      <c r="D13" s="11" t="inlineStr"/>
      <c r="E13" s="11" t="inlineStr"/>
      <c r="F13" s="11" t="inlineStr"/>
      <c r="G13" s="11" t="inlineStr"/>
      <c r="H13" s="11" t="inlineStr"/>
    </row>
    <row r="14" ht="24" customHeight="1">
      <c r="A14" s="11" t="inlineStr"/>
      <c r="B14" s="11" t="inlineStr"/>
      <c r="C14" s="11" t="inlineStr"/>
      <c r="D14" s="11" t="inlineStr"/>
      <c r="E14" s="11" t="inlineStr"/>
      <c r="F14" s="11" t="inlineStr"/>
      <c r="G14" s="11" t="inlineStr"/>
      <c r="H14" s="11" t="inlineStr"/>
    </row>
    <row r="15" ht="24" customHeight="1">
      <c r="A15" s="11" t="inlineStr"/>
      <c r="B15" s="11" t="inlineStr"/>
      <c r="C15" s="11" t="inlineStr"/>
      <c r="D15" s="11" t="inlineStr"/>
      <c r="E15" s="11" t="inlineStr"/>
      <c r="F15" s="11" t="inlineStr"/>
      <c r="G15" s="11" t="inlineStr"/>
      <c r="H15" s="11" t="inlineStr"/>
    </row>
  </sheetData>
  <pageMargins left="0.25" right="0.25" top="0.5" bottom="0.5" header="0.5" footer="0.5"/>
  <pageSetup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24" customWidth="1" min="3" max="3"/>
    <col width="20" customWidth="1" min="4" max="4"/>
    <col width="22" customWidth="1" min="5" max="5"/>
    <col width="38" customWidth="1" min="6" max="6"/>
  </cols>
  <sheetData>
    <row r="1" ht="24" customHeight="1">
      <c r="A1" s="10" t="inlineStr">
        <is>
          <t>Requirement</t>
        </is>
      </c>
      <c r="B1" s="10" t="inlineStr">
        <is>
          <t>Evidence location</t>
        </is>
      </c>
      <c r="C1" s="10" t="inlineStr">
        <is>
          <t>Framework</t>
        </is>
      </c>
      <c r="D1" s="10" t="inlineStr">
        <is>
          <t>Owner</t>
        </is>
      </c>
      <c r="E1" s="10" t="inlineStr">
        <is>
          <t>Status</t>
        </is>
      </c>
      <c r="F1" s="10" t="inlineStr">
        <is>
          <t>Notes</t>
        </is>
      </c>
    </row>
    <row r="2" ht="24" customHeight="1">
      <c r="A2" s="11" t="inlineStr"/>
      <c r="B2" s="11" t="inlineStr"/>
      <c r="C2" s="11" t="inlineStr"/>
      <c r="D2" s="11" t="inlineStr"/>
      <c r="E2" s="11" t="inlineStr"/>
      <c r="F2" s="11" t="inlineStr"/>
    </row>
    <row r="3" ht="24" customHeight="1">
      <c r="A3" s="11" t="inlineStr"/>
      <c r="B3" s="11" t="inlineStr"/>
      <c r="C3" s="11" t="inlineStr"/>
      <c r="D3" s="11" t="inlineStr"/>
      <c r="E3" s="11" t="inlineStr"/>
      <c r="F3" s="11" t="inlineStr"/>
    </row>
    <row r="4" ht="24" customHeight="1">
      <c r="A4" s="11" t="inlineStr"/>
      <c r="B4" s="11" t="inlineStr"/>
      <c r="C4" s="11" t="inlineStr"/>
      <c r="D4" s="11" t="inlineStr"/>
      <c r="E4" s="11" t="inlineStr"/>
      <c r="F4" s="11" t="inlineStr"/>
    </row>
    <row r="5" ht="24" customHeight="1">
      <c r="A5" s="11" t="inlineStr"/>
      <c r="B5" s="11" t="inlineStr"/>
      <c r="C5" s="11" t="inlineStr"/>
      <c r="D5" s="11" t="inlineStr"/>
      <c r="E5" s="11" t="inlineStr"/>
      <c r="F5" s="11" t="inlineStr"/>
    </row>
    <row r="6" ht="24" customHeight="1">
      <c r="A6" s="11" t="inlineStr"/>
      <c r="B6" s="11" t="inlineStr"/>
      <c r="C6" s="11" t="inlineStr"/>
      <c r="D6" s="11" t="inlineStr"/>
      <c r="E6" s="11" t="inlineStr"/>
      <c r="F6" s="11" t="inlineStr"/>
    </row>
    <row r="7" ht="24" customHeight="1">
      <c r="A7" s="11" t="inlineStr"/>
      <c r="B7" s="11" t="inlineStr"/>
      <c r="C7" s="11" t="inlineStr"/>
      <c r="D7" s="11" t="inlineStr"/>
      <c r="E7" s="11" t="inlineStr"/>
      <c r="F7" s="11" t="inlineStr"/>
    </row>
    <row r="8" ht="24" customHeight="1">
      <c r="A8" s="11" t="inlineStr"/>
      <c r="B8" s="11" t="inlineStr"/>
      <c r="C8" s="11" t="inlineStr"/>
      <c r="D8" s="11" t="inlineStr"/>
      <c r="E8" s="11" t="inlineStr"/>
      <c r="F8" s="11" t="inlineStr"/>
    </row>
    <row r="9" ht="24" customHeight="1">
      <c r="A9" s="11" t="inlineStr"/>
      <c r="B9" s="11" t="inlineStr"/>
      <c r="C9" s="11" t="inlineStr"/>
      <c r="D9" s="11" t="inlineStr"/>
      <c r="E9" s="11" t="inlineStr"/>
      <c r="F9" s="11" t="inlineStr"/>
    </row>
    <row r="10" ht="24" customHeight="1">
      <c r="A10" s="11" t="inlineStr"/>
      <c r="B10" s="11" t="inlineStr"/>
      <c r="C10" s="11" t="inlineStr"/>
      <c r="D10" s="11" t="inlineStr"/>
      <c r="E10" s="11" t="inlineStr"/>
      <c r="F10" s="11" t="inlineStr"/>
    </row>
    <row r="11" ht="24" customHeight="1">
      <c r="A11" s="11" t="inlineStr"/>
      <c r="B11" s="11" t="inlineStr"/>
      <c r="C11" s="11" t="inlineStr"/>
      <c r="D11" s="11" t="inlineStr"/>
      <c r="E11" s="11" t="inlineStr"/>
      <c r="F11" s="11" t="inlineStr"/>
    </row>
    <row r="12" ht="24" customHeight="1">
      <c r="A12" s="11" t="inlineStr"/>
      <c r="B12" s="11" t="inlineStr"/>
      <c r="C12" s="11" t="inlineStr"/>
      <c r="D12" s="11" t="inlineStr"/>
      <c r="E12" s="11" t="inlineStr"/>
      <c r="F12" s="11" t="inlineStr"/>
    </row>
    <row r="13" ht="24" customHeight="1">
      <c r="A13" s="11" t="inlineStr"/>
      <c r="B13" s="11" t="inlineStr"/>
      <c r="C13" s="11" t="inlineStr"/>
      <c r="D13" s="11" t="inlineStr"/>
      <c r="E13" s="11" t="inlineStr"/>
      <c r="F13" s="11" t="inlineStr"/>
    </row>
    <row r="14" ht="24" customHeight="1">
      <c r="A14" s="11" t="inlineStr"/>
      <c r="B14" s="11" t="inlineStr"/>
      <c r="C14" s="11" t="inlineStr"/>
      <c r="D14" s="11" t="inlineStr"/>
      <c r="E14" s="11" t="inlineStr"/>
      <c r="F14" s="11" t="inlineStr"/>
    </row>
    <row r="15" ht="24" customHeight="1">
      <c r="A15" s="11" t="inlineStr"/>
      <c r="B15" s="11" t="inlineStr"/>
      <c r="C15" s="11" t="inlineStr"/>
      <c r="D15" s="11" t="inlineStr"/>
      <c r="E15" s="11" t="inlineStr"/>
      <c r="F15" s="11" t="inlineStr"/>
    </row>
    <row r="16" ht="24" customHeight="1">
      <c r="A16" s="11" t="inlineStr"/>
      <c r="B16" s="11" t="inlineStr"/>
      <c r="C16" s="11" t="inlineStr"/>
      <c r="D16" s="11" t="inlineStr"/>
      <c r="E16" s="11" t="inlineStr"/>
      <c r="F16" s="11" t="inlineStr"/>
    </row>
    <row r="17" ht="24" customHeight="1">
      <c r="A17" s="11" t="inlineStr"/>
      <c r="B17" s="11" t="inlineStr"/>
      <c r="C17" s="11" t="inlineStr"/>
      <c r="D17" s="11" t="inlineStr"/>
      <c r="E17" s="11" t="inlineStr"/>
      <c r="F17" s="11" t="inlineStr"/>
    </row>
    <row r="18" ht="24" customHeight="1">
      <c r="A18" s="11" t="inlineStr"/>
      <c r="B18" s="11" t="inlineStr"/>
      <c r="C18" s="11" t="inlineStr"/>
      <c r="D18" s="11" t="inlineStr"/>
      <c r="E18" s="11" t="inlineStr"/>
      <c r="F18" s="11" t="inlineStr"/>
    </row>
    <row r="19" ht="24" customHeight="1">
      <c r="A19" s="11" t="inlineStr"/>
      <c r="B19" s="11" t="inlineStr"/>
      <c r="C19" s="11" t="inlineStr"/>
      <c r="D19" s="11" t="inlineStr"/>
      <c r="E19" s="11" t="inlineStr"/>
      <c r="F19" s="11" t="inlineStr"/>
    </row>
  </sheetData>
  <dataValidations count="1">
    <dataValidation sqref="E2:E200" showDropDown="0" showInputMessage="0" showErrorMessage="0" allowBlank="1" type="list">
      <formula1>"Not verified,Open,In progress,Fulfilled,Not required"</formula1>
    </dataValidation>
  </dataValidations>
  <pageMargins left="0.25" right="0.25" top="0.5" bottom="0.5" header="0.5" footer="0.5"/>
  <pageSetup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8" customWidth="1" min="3" max="3"/>
    <col width="20" customWidth="1" min="4" max="4"/>
    <col width="38" customWidth="1" min="5" max="5"/>
    <col width="18" customWidth="1" min="6" max="6"/>
    <col width="18" customWidth="1" min="7" max="7"/>
  </cols>
  <sheetData>
    <row r="1" ht="24" customHeight="1">
      <c r="A1" s="10" t="inlineStr">
        <is>
          <t>Item</t>
        </is>
      </c>
      <c r="B1" s="10" t="inlineStr">
        <is>
          <t>Type</t>
        </is>
      </c>
      <c r="C1" s="10" t="inlineStr">
        <is>
          <t>Impact</t>
        </is>
      </c>
      <c r="D1" s="10" t="inlineStr">
        <is>
          <t>Owner</t>
        </is>
      </c>
      <c r="E1" s="10" t="inlineStr">
        <is>
          <t>Decision needed</t>
        </is>
      </c>
      <c r="F1" s="10" t="inlineStr">
        <is>
          <t>Due date</t>
        </is>
      </c>
      <c r="G1" s="10" t="inlineStr">
        <is>
          <t>Status</t>
        </is>
      </c>
    </row>
    <row r="2" ht="24" customHeight="1">
      <c r="A2" s="11" t="inlineStr"/>
      <c r="B2" s="11" t="inlineStr"/>
      <c r="C2" s="11" t="inlineStr"/>
      <c r="D2" s="11" t="inlineStr"/>
      <c r="E2" s="11" t="inlineStr"/>
      <c r="F2" s="11" t="inlineStr"/>
      <c r="G2" s="11" t="inlineStr"/>
    </row>
    <row r="3" ht="24" customHeight="1">
      <c r="A3" s="11" t="inlineStr"/>
      <c r="B3" s="11" t="inlineStr"/>
      <c r="C3" s="11" t="inlineStr"/>
      <c r="D3" s="11" t="inlineStr"/>
      <c r="E3" s="11" t="inlineStr"/>
      <c r="F3" s="11" t="inlineStr"/>
      <c r="G3" s="11" t="inlineStr"/>
    </row>
    <row r="4" ht="24" customHeight="1">
      <c r="A4" s="11" t="inlineStr"/>
      <c r="B4" s="11" t="inlineStr"/>
      <c r="C4" s="11" t="inlineStr"/>
      <c r="D4" s="11" t="inlineStr"/>
      <c r="E4" s="11" t="inlineStr"/>
      <c r="F4" s="11" t="inlineStr"/>
      <c r="G4" s="11" t="inlineStr"/>
    </row>
    <row r="5" ht="24" customHeight="1">
      <c r="A5" s="11" t="inlineStr"/>
      <c r="B5" s="11" t="inlineStr"/>
      <c r="C5" s="11" t="inlineStr"/>
      <c r="D5" s="11" t="inlineStr"/>
      <c r="E5" s="11" t="inlineStr"/>
      <c r="F5" s="11" t="inlineStr"/>
      <c r="G5" s="11" t="inlineStr"/>
    </row>
    <row r="6" ht="24" customHeight="1">
      <c r="A6" s="11" t="inlineStr"/>
      <c r="B6" s="11" t="inlineStr"/>
      <c r="C6" s="11" t="inlineStr"/>
      <c r="D6" s="11" t="inlineStr"/>
      <c r="E6" s="11" t="inlineStr"/>
      <c r="F6" s="11" t="inlineStr"/>
      <c r="G6" s="11" t="inlineStr"/>
    </row>
    <row r="7" ht="24" customHeight="1">
      <c r="A7" s="11" t="inlineStr"/>
      <c r="B7" s="11" t="inlineStr"/>
      <c r="C7" s="11" t="inlineStr"/>
      <c r="D7" s="11" t="inlineStr"/>
      <c r="E7" s="11" t="inlineStr"/>
      <c r="F7" s="11" t="inlineStr"/>
      <c r="G7" s="11" t="inlineStr"/>
    </row>
    <row r="8" ht="24" customHeight="1">
      <c r="A8" s="11" t="inlineStr"/>
      <c r="B8" s="11" t="inlineStr"/>
      <c r="C8" s="11" t="inlineStr"/>
      <c r="D8" s="11" t="inlineStr"/>
      <c r="E8" s="11" t="inlineStr"/>
      <c r="F8" s="11" t="inlineStr"/>
      <c r="G8" s="11" t="inlineStr"/>
    </row>
    <row r="9" ht="24" customHeight="1">
      <c r="A9" s="11" t="inlineStr"/>
      <c r="B9" s="11" t="inlineStr"/>
      <c r="C9" s="11" t="inlineStr"/>
      <c r="D9" s="11" t="inlineStr"/>
      <c r="E9" s="11" t="inlineStr"/>
      <c r="F9" s="11" t="inlineStr"/>
      <c r="G9" s="11" t="inlineStr"/>
    </row>
    <row r="10" ht="24" customHeight="1">
      <c r="A10" s="11" t="inlineStr"/>
      <c r="B10" s="11" t="inlineStr"/>
      <c r="C10" s="11" t="inlineStr"/>
      <c r="D10" s="11" t="inlineStr"/>
      <c r="E10" s="11" t="inlineStr"/>
      <c r="F10" s="11" t="inlineStr"/>
      <c r="G10" s="11" t="inlineStr"/>
    </row>
    <row r="11" ht="24" customHeight="1">
      <c r="A11" s="11" t="inlineStr"/>
      <c r="B11" s="11" t="inlineStr"/>
      <c r="C11" s="11" t="inlineStr"/>
      <c r="D11" s="11" t="inlineStr"/>
      <c r="E11" s="11" t="inlineStr"/>
      <c r="F11" s="11" t="inlineStr"/>
      <c r="G11" s="11" t="inlineStr"/>
    </row>
    <row r="12" ht="24" customHeight="1">
      <c r="A12" s="11" t="inlineStr"/>
      <c r="B12" s="11" t="inlineStr"/>
      <c r="C12" s="11" t="inlineStr"/>
      <c r="D12" s="11" t="inlineStr"/>
      <c r="E12" s="11" t="inlineStr"/>
      <c r="F12" s="11" t="inlineStr"/>
      <c r="G12" s="11" t="inlineStr"/>
    </row>
    <row r="13" ht="24" customHeight="1">
      <c r="A13" s="11" t="inlineStr"/>
      <c r="B13" s="11" t="inlineStr"/>
      <c r="C13" s="11" t="inlineStr"/>
      <c r="D13" s="11" t="inlineStr"/>
      <c r="E13" s="11" t="inlineStr"/>
      <c r="F13" s="11" t="inlineStr"/>
      <c r="G13" s="11" t="inlineStr"/>
    </row>
    <row r="14" ht="24" customHeight="1">
      <c r="A14" s="11" t="inlineStr"/>
      <c r="B14" s="11" t="inlineStr"/>
      <c r="C14" s="11" t="inlineStr"/>
      <c r="D14" s="11" t="inlineStr"/>
      <c r="E14" s="11" t="inlineStr"/>
      <c r="F14" s="11" t="inlineStr"/>
      <c r="G14" s="11" t="inlineStr"/>
    </row>
    <row r="15" ht="24" customHeight="1">
      <c r="A15" s="11" t="inlineStr"/>
      <c r="B15" s="11" t="inlineStr"/>
      <c r="C15" s="11" t="inlineStr"/>
      <c r="D15" s="11" t="inlineStr"/>
      <c r="E15" s="11" t="inlineStr"/>
      <c r="F15" s="11" t="inlineStr"/>
      <c r="G15" s="11" t="inlineStr"/>
    </row>
  </sheetData>
  <dataValidations count="1">
    <dataValidation sqref="G2:G200" showDropDown="0" showInputMessage="0" showErrorMessage="0" allowBlank="1" type="list">
      <formula1>"Open,Closed,Accepted risk,Deferred"</formula1>
    </dataValidation>
  </dataValidations>
  <pageMargins left="0.25" right="0.25" top="0.5" bottom="0.5" header="0.5" footer="0.5"/>
  <pageSetup fitToHeight="0" fitToWidth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46" customWidth="1" min="3" max="3"/>
    <col width="26" customWidth="1" min="4" max="4"/>
    <col width="54" customWidth="1" min="5" max="5"/>
    <col width="20" customWidth="1" min="6" max="6"/>
  </cols>
  <sheetData>
    <row r="1" ht="24" customHeight="1">
      <c r="A1" s="10" t="inlineStr">
        <is>
          <t>Artifact</t>
        </is>
      </c>
      <c r="B1" s="10" t="inlineStr">
        <is>
          <t>Type</t>
        </is>
      </c>
      <c r="C1" s="10" t="inlineStr">
        <is>
          <t>What it proves</t>
        </is>
      </c>
      <c r="D1" s="10" t="inlineStr">
        <is>
          <t>Related review area</t>
        </is>
      </c>
      <c r="E1" s="10" t="inlineStr">
        <is>
          <t>Microsoft Learn reference</t>
        </is>
      </c>
      <c r="F1" s="10" t="inlineStr">
        <is>
          <t>Owner</t>
        </is>
      </c>
    </row>
    <row r="2" ht="24" customHeight="1">
      <c r="A2" s="11" t="inlineStr"/>
      <c r="B2" s="11" t="inlineStr"/>
      <c r="C2" s="11" t="inlineStr"/>
      <c r="D2" s="11" t="inlineStr"/>
      <c r="E2" s="11" t="inlineStr"/>
      <c r="F2" s="11" t="inlineStr"/>
    </row>
    <row r="3" ht="24" customHeight="1">
      <c r="A3" s="11" t="inlineStr"/>
      <c r="B3" s="11" t="inlineStr"/>
      <c r="C3" s="11" t="inlineStr"/>
      <c r="D3" s="11" t="inlineStr"/>
      <c r="E3" s="11" t="inlineStr"/>
      <c r="F3" s="11" t="inlineStr"/>
    </row>
    <row r="4" ht="24" customHeight="1">
      <c r="A4" s="11" t="inlineStr"/>
      <c r="B4" s="11" t="inlineStr"/>
      <c r="C4" s="11" t="inlineStr"/>
      <c r="D4" s="11" t="inlineStr"/>
      <c r="E4" s="11" t="inlineStr"/>
      <c r="F4" s="11" t="inlineStr"/>
    </row>
    <row r="5" ht="24" customHeight="1">
      <c r="A5" s="11" t="inlineStr"/>
      <c r="B5" s="11" t="inlineStr"/>
      <c r="C5" s="11" t="inlineStr"/>
      <c r="D5" s="11" t="inlineStr"/>
      <c r="E5" s="11" t="inlineStr"/>
      <c r="F5" s="11" t="inlineStr"/>
    </row>
    <row r="6" ht="24" customHeight="1">
      <c r="A6" s="11" t="inlineStr"/>
      <c r="B6" s="11" t="inlineStr"/>
      <c r="C6" s="11" t="inlineStr"/>
      <c r="D6" s="11" t="inlineStr"/>
      <c r="E6" s="11" t="inlineStr"/>
      <c r="F6" s="11" t="inlineStr"/>
    </row>
    <row r="7" ht="24" customHeight="1">
      <c r="A7" s="11" t="inlineStr"/>
      <c r="B7" s="11" t="inlineStr"/>
      <c r="C7" s="11" t="inlineStr"/>
      <c r="D7" s="11" t="inlineStr"/>
      <c r="E7" s="11" t="inlineStr"/>
      <c r="F7" s="11" t="inlineStr"/>
    </row>
    <row r="8" ht="24" customHeight="1">
      <c r="A8" s="11" t="inlineStr"/>
      <c r="B8" s="11" t="inlineStr"/>
      <c r="C8" s="11" t="inlineStr"/>
      <c r="D8" s="11" t="inlineStr"/>
      <c r="E8" s="11" t="inlineStr"/>
      <c r="F8" s="11" t="inlineStr"/>
    </row>
    <row r="9" ht="24" customHeight="1">
      <c r="A9" s="11" t="inlineStr"/>
      <c r="B9" s="11" t="inlineStr"/>
      <c r="C9" s="11" t="inlineStr"/>
      <c r="D9" s="11" t="inlineStr"/>
      <c r="E9" s="11" t="inlineStr"/>
      <c r="F9" s="11" t="inlineStr"/>
    </row>
    <row r="10" ht="24" customHeight="1">
      <c r="A10" s="11" t="inlineStr"/>
      <c r="B10" s="11" t="inlineStr"/>
      <c r="C10" s="11" t="inlineStr"/>
      <c r="D10" s="11" t="inlineStr"/>
      <c r="E10" s="11" t="inlineStr"/>
      <c r="F10" s="11" t="inlineStr"/>
    </row>
    <row r="11" ht="24" customHeight="1">
      <c r="A11" s="11" t="inlineStr"/>
      <c r="B11" s="11" t="inlineStr"/>
      <c r="C11" s="11" t="inlineStr"/>
      <c r="D11" s="11" t="inlineStr"/>
      <c r="E11" s="11" t="inlineStr"/>
      <c r="F11" s="11" t="inlineStr"/>
    </row>
    <row r="12" ht="24" customHeight="1">
      <c r="A12" s="11" t="inlineStr"/>
      <c r="B12" s="11" t="inlineStr"/>
      <c r="C12" s="11" t="inlineStr"/>
      <c r="D12" s="11" t="inlineStr"/>
      <c r="E12" s="11" t="inlineStr"/>
      <c r="F12" s="11" t="inlineStr"/>
    </row>
    <row r="13" ht="24" customHeight="1">
      <c r="A13" s="11" t="inlineStr"/>
      <c r="B13" s="11" t="inlineStr"/>
      <c r="C13" s="11" t="inlineStr"/>
      <c r="D13" s="11" t="inlineStr"/>
      <c r="E13" s="11" t="inlineStr"/>
      <c r="F13" s="11" t="inlineStr"/>
    </row>
    <row r="14" ht="24" customHeight="1">
      <c r="A14" s="11" t="inlineStr"/>
      <c r="B14" s="11" t="inlineStr"/>
      <c r="C14" s="11" t="inlineStr"/>
      <c r="D14" s="11" t="inlineStr"/>
      <c r="E14" s="11" t="inlineStr"/>
      <c r="F14" s="11" t="inlineStr"/>
    </row>
    <row r="15" ht="24" customHeight="1">
      <c r="A15" s="11" t="inlineStr"/>
      <c r="B15" s="11" t="inlineStr"/>
      <c r="C15" s="11" t="inlineStr"/>
      <c r="D15" s="11" t="inlineStr"/>
      <c r="E15" s="11" t="inlineStr"/>
      <c r="F15" s="11" t="inlineStr"/>
    </row>
    <row r="16" ht="24" customHeight="1">
      <c r="A16" s="11" t="inlineStr"/>
      <c r="B16" s="11" t="inlineStr"/>
      <c r="C16" s="11" t="inlineStr"/>
      <c r="D16" s="11" t="inlineStr"/>
      <c r="E16" s="11" t="inlineStr"/>
      <c r="F16" s="11" t="inlineStr"/>
    </row>
    <row r="17" ht="24" customHeight="1">
      <c r="A17" s="11" t="inlineStr"/>
      <c r="B17" s="11" t="inlineStr"/>
      <c r="C17" s="11" t="inlineStr"/>
      <c r="D17" s="11" t="inlineStr"/>
      <c r="E17" s="11" t="inlineStr"/>
      <c r="F17" s="11" t="inlineStr"/>
    </row>
    <row r="18" ht="24" customHeight="1">
      <c r="A18" s="11" t="inlineStr"/>
      <c r="B18" s="11" t="inlineStr"/>
      <c r="C18" s="11" t="inlineStr"/>
      <c r="D18" s="11" t="inlineStr"/>
      <c r="E18" s="11" t="inlineStr"/>
      <c r="F18" s="11" t="inlineStr"/>
    </row>
    <row r="19" ht="24" customHeight="1">
      <c r="A19" s="11" t="inlineStr"/>
      <c r="B19" s="11" t="inlineStr"/>
      <c r="C19" s="11" t="inlineStr"/>
      <c r="D19" s="11" t="inlineStr"/>
      <c r="E19" s="11" t="inlineStr"/>
      <c r="F19" s="11" t="inlineStr"/>
    </row>
  </sheetData>
  <pageMargins left="0.25" right="0.25" top="0.5" bottom="0.5" header="0.5" footer="0.5"/>
  <pageSetup fitToHeight="0" fitToWidth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C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6" customWidth="1" min="2" max="2"/>
    <col width="88" customWidth="1" min="3" max="3"/>
  </cols>
  <sheetData>
    <row r="1" ht="24" customHeight="1">
      <c r="A1" s="10" t="inlineStr">
        <is>
          <t>Category</t>
        </is>
      </c>
      <c r="B1" s="10" t="inlineStr">
        <is>
          <t>Topic</t>
        </is>
      </c>
      <c r="C1" s="10" t="inlineStr">
        <is>
          <t>Microsoft Learn URL</t>
        </is>
      </c>
    </row>
    <row r="2" ht="24" customHeight="1">
      <c r="A2" s="2" t="inlineStr">
        <is>
          <t>WAF</t>
        </is>
      </c>
      <c r="B2" s="2" t="inlineStr">
        <is>
          <t>Azure Well-Architected Framework</t>
        </is>
      </c>
      <c r="C2" s="13" t="inlineStr">
        <is>
          <t>https://learn.microsoft.com/en-us/azure/well-architected/</t>
        </is>
      </c>
    </row>
    <row r="3" ht="24" customHeight="1">
      <c r="A3" s="2" t="inlineStr">
        <is>
          <t>WAF</t>
        </is>
      </c>
      <c r="B3" s="2" t="inlineStr">
        <is>
          <t>Security pillar</t>
        </is>
      </c>
      <c r="C3" s="13" t="inlineStr">
        <is>
          <t>https://learn.microsoft.com/en-us/azure/well-architected/security/</t>
        </is>
      </c>
    </row>
    <row r="4" ht="24" customHeight="1">
      <c r="A4" s="2" t="inlineStr">
        <is>
          <t>WAF</t>
        </is>
      </c>
      <c r="B4" s="2" t="inlineStr">
        <is>
          <t>Reliability pillar</t>
        </is>
      </c>
      <c r="C4" s="13" t="inlineStr">
        <is>
          <t>https://learn.microsoft.com/en-us/azure/well-architected/reliability/</t>
        </is>
      </c>
    </row>
    <row r="5" ht="24" customHeight="1">
      <c r="A5" s="2" t="inlineStr">
        <is>
          <t>WAF</t>
        </is>
      </c>
      <c r="B5" s="2" t="inlineStr">
        <is>
          <t>Operational Excellence pillar</t>
        </is>
      </c>
      <c r="C5" s="13" t="inlineStr">
        <is>
          <t>https://learn.microsoft.com/en-us/azure/well-architected/operational-excellence/</t>
        </is>
      </c>
    </row>
    <row r="6" ht="24" customHeight="1">
      <c r="A6" s="2" t="inlineStr">
        <is>
          <t>WAF</t>
        </is>
      </c>
      <c r="B6" s="2" t="inlineStr">
        <is>
          <t>Cost Optimization pillar</t>
        </is>
      </c>
      <c r="C6" s="13" t="inlineStr">
        <is>
          <t>https://learn.microsoft.com/en-us/azure/well-architected/cost-optimization/</t>
        </is>
      </c>
    </row>
    <row r="7" ht="24" customHeight="1">
      <c r="A7" s="2" t="inlineStr">
        <is>
          <t>WAF</t>
        </is>
      </c>
      <c r="B7" s="2" t="inlineStr">
        <is>
          <t>Performance Efficiency pillar</t>
        </is>
      </c>
      <c r="C7" s="13" t="inlineStr">
        <is>
          <t>https://learn.microsoft.com/en-us/azure/well-architected/performance-efficiency/</t>
        </is>
      </c>
    </row>
    <row r="8" ht="24" customHeight="1">
      <c r="A8" s="2" t="inlineStr">
        <is>
          <t>CAF</t>
        </is>
      </c>
      <c r="B8" s="2" t="inlineStr">
        <is>
          <t>Cloud Adoption Framework</t>
        </is>
      </c>
      <c r="C8" s="13" t="inlineStr">
        <is>
          <t>https://learn.microsoft.com/en-us/azure/cloud-adoption-framework/</t>
        </is>
      </c>
    </row>
    <row r="9" ht="24" customHeight="1">
      <c r="A9" s="2" t="inlineStr">
        <is>
          <t>CAF</t>
        </is>
      </c>
      <c r="B9" s="2" t="inlineStr">
        <is>
          <t>Strategy</t>
        </is>
      </c>
      <c r="C9" s="13" t="inlineStr">
        <is>
          <t>https://learn.microsoft.com/en-us/azure/cloud-adoption-framework/strategy/</t>
        </is>
      </c>
    </row>
    <row r="10" ht="24" customHeight="1">
      <c r="A10" s="2" t="inlineStr">
        <is>
          <t>CAF</t>
        </is>
      </c>
      <c r="B10" s="2" t="inlineStr">
        <is>
          <t>Plan</t>
        </is>
      </c>
      <c r="C10" s="13" t="inlineStr">
        <is>
          <t>https://learn.microsoft.com/en-us/azure/cloud-adoption-framework/plan/</t>
        </is>
      </c>
    </row>
    <row r="11" ht="24" customHeight="1">
      <c r="A11" s="2" t="inlineStr">
        <is>
          <t>CAF</t>
        </is>
      </c>
      <c r="B11" s="2" t="inlineStr">
        <is>
          <t>Ready</t>
        </is>
      </c>
      <c r="C11" s="13" t="inlineStr">
        <is>
          <t>https://learn.microsoft.com/en-us/azure/cloud-adoption-framework/ready/</t>
        </is>
      </c>
    </row>
    <row r="12" ht="24" customHeight="1">
      <c r="A12" s="2" t="inlineStr">
        <is>
          <t>CAF</t>
        </is>
      </c>
      <c r="B12" s="2" t="inlineStr">
        <is>
          <t>Secure</t>
        </is>
      </c>
      <c r="C12" s="13" t="inlineStr">
        <is>
          <t>https://learn.microsoft.com/en-us/azure/cloud-adoption-framework/secure/</t>
        </is>
      </c>
    </row>
    <row r="13" ht="24" customHeight="1">
      <c r="A13" s="2" t="inlineStr">
        <is>
          <t>CAF</t>
        </is>
      </c>
      <c r="B13" s="2" t="inlineStr">
        <is>
          <t>Manage</t>
        </is>
      </c>
      <c r="C13" s="13" t="inlineStr">
        <is>
          <t>https://learn.microsoft.com/en-us/azure/cloud-adoption-framework/manage/</t>
        </is>
      </c>
    </row>
    <row r="14" ht="24" customHeight="1">
      <c r="A14" s="2" t="inlineStr">
        <is>
          <t>ALZ</t>
        </is>
      </c>
      <c r="B14" s="2" t="inlineStr">
        <is>
          <t>Azure landing zones</t>
        </is>
      </c>
      <c r="C14" s="13" t="inlineStr">
        <is>
          <t>https://learn.microsoft.com/en-us/azure/cloud-adoption-framework/ready/landing-zone/</t>
        </is>
      </c>
    </row>
    <row r="15" ht="24" customHeight="1">
      <c r="A15" s="2" t="inlineStr">
        <is>
          <t>ALZ</t>
        </is>
      </c>
      <c r="B15" s="2" t="inlineStr">
        <is>
          <t>Landing zone design principles</t>
        </is>
      </c>
      <c r="C15" s="13" t="inlineStr">
        <is>
          <t>https://learn.microsoft.com/en-us/azure/cloud-adoption-framework/ready/landing-zone/design-principles</t>
        </is>
      </c>
    </row>
    <row r="16" ht="24" customHeight="1">
      <c r="A16" s="2" t="inlineStr">
        <is>
          <t>ALZ</t>
        </is>
      </c>
      <c r="B16" s="2" t="inlineStr">
        <is>
          <t>Landing zone design areas</t>
        </is>
      </c>
      <c r="C16" s="13" t="inlineStr">
        <is>
          <t>https://learn.microsoft.com/en-us/azure/cloud-adoption-framework/ready/landing-zone/design-areas</t>
        </is>
      </c>
    </row>
    <row r="17" ht="24" customHeight="1">
      <c r="A17" s="2" t="inlineStr">
        <is>
          <t>AI</t>
        </is>
      </c>
      <c r="B17" s="2" t="inlineStr">
        <is>
          <t>CAF AI adoption</t>
        </is>
      </c>
      <c r="C17" s="13" t="inlineStr">
        <is>
          <t>https://learn.microsoft.com/en-us/azure/cloud-adoption-framework/ai/</t>
        </is>
      </c>
    </row>
    <row r="18" ht="24" customHeight="1">
      <c r="A18" s="2" t="inlineStr">
        <is>
          <t>AI</t>
        </is>
      </c>
      <c r="B18" s="2" t="inlineStr">
        <is>
          <t>Well-Architected AI workloads</t>
        </is>
      </c>
      <c r="C18" s="13" t="inlineStr">
        <is>
          <t>https://learn.microsoft.com/en-us/azure/well-architected/ai/</t>
        </is>
      </c>
    </row>
    <row r="19" ht="24" customHeight="1">
      <c r="A19" s="2" t="inlineStr">
        <is>
          <t>AI</t>
        </is>
      </c>
      <c r="B19" s="2" t="inlineStr">
        <is>
          <t>Foundry landing zone baseline</t>
        </is>
      </c>
      <c r="C19" s="13" t="inlineStr">
        <is>
          <t>https://learn.microsoft.com/en-us/azure/architecture/ai-ml/architecture/baseline-microsoft-foundry-landing-zone</t>
        </is>
      </c>
    </row>
    <row r="20" ht="24" customHeight="1">
      <c r="A20" s="2" t="inlineStr">
        <is>
          <t>Migration</t>
        </is>
      </c>
      <c r="B20" s="2" t="inlineStr">
        <is>
          <t>Azure migration overview</t>
        </is>
      </c>
      <c r="C20" s="13" t="inlineStr">
        <is>
          <t>https://learn.microsoft.com/en-us/azure/migration/migrate-to-azure</t>
        </is>
      </c>
    </row>
    <row r="21" ht="24" customHeight="1">
      <c r="A21" s="2" t="inlineStr">
        <is>
          <t>Migration</t>
        </is>
      </c>
      <c r="B21" s="2" t="inlineStr">
        <is>
          <t>Plan migration</t>
        </is>
      </c>
      <c r="C21" s="13" t="inlineStr">
        <is>
          <t>https://learn.microsoft.com/en-us/azure/cloud-adoption-framework/migrate/plan-migration</t>
        </is>
      </c>
    </row>
    <row r="22" ht="24" customHeight="1">
      <c r="A22" s="2" t="inlineStr">
        <is>
          <t>Migration</t>
        </is>
      </c>
      <c r="B22" s="2" t="inlineStr">
        <is>
          <t>Execute migration</t>
        </is>
      </c>
      <c r="C22" s="13" t="inlineStr">
        <is>
          <t>https://learn.microsoft.com/en-us/azure/cloud-adoption-framework/migrate/release/complete-migration</t>
        </is>
      </c>
    </row>
    <row r="23" ht="24" customHeight="1">
      <c r="A23" s="2" t="inlineStr">
        <is>
          <t>Runbook</t>
        </is>
      </c>
      <c r="B23" s="2" t="inlineStr">
        <is>
          <t>Cutover guidance</t>
        </is>
      </c>
      <c r="C23" s="13" t="inlineStr">
        <is>
          <t>https://learn.microsoft.com/en-us/azure/cloud-adoption-framework/relocate/cutover</t>
        </is>
      </c>
    </row>
    <row r="24" ht="24" customHeight="1">
      <c r="A24" s="2" t="inlineStr">
        <is>
          <t>Checklist</t>
        </is>
      </c>
      <c r="B24" s="2" t="inlineStr">
        <is>
          <t>Azure Review Checklists macro-free spreadsheets</t>
        </is>
      </c>
      <c r="C24" s="13" t="inlineStr">
        <is>
          <t>https://github.com/Azure/review-checklists/tree/main/spreadsheet/macrofree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25" right="0.25" top="0.5" bottom="0.5" header="0.5" footer="0.5"/>
  <pageSetup fitToHeight="0" fitToWidth="1"/>
  <tableParts count="1">
    <tablePart xmlns:r="http://schemas.openxmlformats.org/officeDocument/2006/relationships" r:id="rId24"/>
  </tableParts>
</worksheet>
</file>

<file path=xl/worksheets/sheet12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C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70" customWidth="1" min="3" max="3"/>
  </cols>
  <sheetData>
    <row r="1" ht="24" customHeight="1">
      <c r="A1" s="10" t="inlineStr">
        <is>
          <t>Severity</t>
        </is>
      </c>
      <c r="B1" s="10" t="inlineStr">
        <is>
          <t>Status</t>
        </is>
      </c>
      <c r="C1" s="10" t="inlineStr">
        <is>
          <t>Status description</t>
        </is>
      </c>
    </row>
    <row r="2" ht="24" customHeight="1">
      <c r="A2" s="2" t="inlineStr">
        <is>
          <t>Critical</t>
        </is>
      </c>
      <c r="B2" s="2" t="inlineStr">
        <is>
          <t>Not verified</t>
        </is>
      </c>
      <c r="C2" s="2" t="inlineStr">
        <is>
          <t>The check has not been assessed.</t>
        </is>
      </c>
    </row>
    <row r="3" ht="24" customHeight="1">
      <c r="A3" s="2" t="inlineStr">
        <is>
          <t>High</t>
        </is>
      </c>
      <c r="B3" s="2" t="inlineStr">
        <is>
          <t>Open</t>
        </is>
      </c>
      <c r="C3" s="2" t="inlineStr">
        <is>
          <t>A gap or action is currently open.</t>
        </is>
      </c>
    </row>
    <row r="4" ht="24" customHeight="1">
      <c r="A4" s="2" t="inlineStr">
        <is>
          <t>Medium</t>
        </is>
      </c>
      <c r="B4" s="2" t="inlineStr">
        <is>
          <t>In progress</t>
        </is>
      </c>
      <c r="C4" s="2" t="inlineStr">
        <is>
          <t>Evidence or remediation is being prepared.</t>
        </is>
      </c>
    </row>
    <row r="5" ht="24" customHeight="1">
      <c r="A5" s="2" t="inlineStr">
        <is>
          <t>Low</t>
        </is>
      </c>
      <c r="B5" s="2" t="inlineStr">
        <is>
          <t>Fulfilled</t>
        </is>
      </c>
      <c r="C5" s="2" t="inlineStr">
        <is>
          <t>Evidence satisfies the check.</t>
        </is>
      </c>
    </row>
    <row r="6" ht="24" customHeight="1">
      <c r="A6" s="2" t="inlineStr"/>
      <c r="B6" s="2" t="inlineStr">
        <is>
          <t>Not required</t>
        </is>
      </c>
      <c r="C6" s="2" t="inlineStr">
        <is>
          <t>Not applicable; rationale is documented.</t>
        </is>
      </c>
    </row>
  </sheetData>
  <pageMargins left="0.25" right="0.25" top="0.5" bottom="0.5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2026-05-10T18:49:22Z</dcterms:created>
  <dcterms:modified xmlns:dcterms="http://purl.org/dc/terms/" xmlns:xsi="http://www.w3.org/2001/XMLSchema-instance" xsi:type="dcterms:W3CDTF">2026-05-10T18:50:59Z</dcterms:modified>
</cp:coreProperties>
</file>